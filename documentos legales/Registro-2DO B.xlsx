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crd-my.sharepoint.com/personal/kelvin_florimon_docente_edu_do/Documents/Proyecto_SIGERA/documentos legales/"/>
    </mc:Choice>
  </mc:AlternateContent>
  <xr:revisionPtr revIDLastSave="1697" documentId="13_ncr:20001_{1BAA351A-AA61-454B-85D0-61D0DF1E0893}" xr6:coauthVersionLast="47" xr6:coauthVersionMax="47" xr10:uidLastSave="{76503C3C-9179-4D78-9ECF-7278755DF31F}"/>
  <bookViews>
    <workbookView xWindow="1536" yWindow="1536" windowWidth="17280" windowHeight="9960" xr2:uid="{00000000-000D-0000-FFFF-FFFF00000000}"/>
  </bookViews>
  <sheets>
    <sheet name="MATH" sheetId="118" r:id="rId1"/>
  </sheets>
  <definedNames>
    <definedName name="_Hlk162943661" localSheetId="0">MATH!$B$12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" i="118" l="1"/>
  <c r="AT7" i="118"/>
  <c r="AT4" i="118"/>
  <c r="AR5" i="118"/>
  <c r="AR6" i="118"/>
  <c r="AR7" i="118"/>
  <c r="AR8" i="118"/>
  <c r="AR9" i="118"/>
  <c r="AR10" i="118"/>
  <c r="AR11" i="118"/>
  <c r="AR12" i="118"/>
  <c r="AR13" i="118"/>
  <c r="AR14" i="118"/>
  <c r="AR15" i="118"/>
  <c r="AR16" i="118"/>
  <c r="AR17" i="118"/>
  <c r="AR18" i="118"/>
  <c r="AR19" i="118"/>
  <c r="AR20" i="118"/>
  <c r="AR21" i="118"/>
  <c r="AR22" i="118"/>
  <c r="AR23" i="118"/>
  <c r="AR24" i="118"/>
  <c r="AR25" i="118"/>
  <c r="AR26" i="118"/>
  <c r="AR27" i="118"/>
  <c r="AR28" i="118"/>
  <c r="AR29" i="118"/>
  <c r="AR30" i="118"/>
  <c r="AR31" i="118"/>
  <c r="AR32" i="118"/>
  <c r="AR33" i="118"/>
  <c r="AR34" i="118"/>
  <c r="AR35" i="118"/>
  <c r="AR36" i="118"/>
  <c r="AR37" i="118"/>
  <c r="AR38" i="118"/>
  <c r="AR39" i="118"/>
  <c r="AR40" i="118"/>
  <c r="AR41" i="118"/>
  <c r="AR42" i="118"/>
  <c r="AR43" i="118"/>
  <c r="AR4" i="118"/>
  <c r="AX5" i="118"/>
  <c r="AX6" i="118"/>
  <c r="AX7" i="118"/>
  <c r="AX8" i="118"/>
  <c r="AX9" i="118"/>
  <c r="AX10" i="118"/>
  <c r="AX11" i="118"/>
  <c r="AX12" i="118"/>
  <c r="AX13" i="118"/>
  <c r="AX14" i="118"/>
  <c r="AX15" i="118"/>
  <c r="AX18" i="118"/>
  <c r="AX19" i="118"/>
  <c r="AX20" i="118"/>
  <c r="AX21" i="118"/>
  <c r="AX22" i="118"/>
  <c r="AX23" i="118"/>
  <c r="AX24" i="118"/>
  <c r="AX25" i="118"/>
  <c r="AX27" i="118"/>
  <c r="AX28" i="118"/>
  <c r="AX29" i="118"/>
  <c r="AX30" i="118"/>
  <c r="AX31" i="118"/>
  <c r="AX32" i="118"/>
  <c r="AX33" i="118"/>
  <c r="AX34" i="118"/>
  <c r="AX35" i="118"/>
  <c r="AX36" i="118"/>
  <c r="AX37" i="118"/>
  <c r="AX38" i="118"/>
  <c r="AX39" i="118"/>
  <c r="AX40" i="118"/>
  <c r="AX41" i="118"/>
  <c r="AX42" i="118"/>
  <c r="AX43" i="118"/>
  <c r="AX4" i="118"/>
  <c r="AI5" i="118"/>
  <c r="AJ5" i="118"/>
  <c r="AK5" i="118"/>
  <c r="AL5" i="118"/>
  <c r="AM5" i="118"/>
  <c r="AI6" i="118"/>
  <c r="AJ6" i="118"/>
  <c r="AK6" i="118"/>
  <c r="AM6" i="118" s="1"/>
  <c r="AL6" i="118"/>
  <c r="AI7" i="118"/>
  <c r="AM7" i="118" s="1"/>
  <c r="AJ7" i="118"/>
  <c r="AK7" i="118"/>
  <c r="AL7" i="118"/>
  <c r="AI8" i="118"/>
  <c r="AJ8" i="118"/>
  <c r="AK8" i="118"/>
  <c r="AL8" i="118"/>
  <c r="AM8" i="118"/>
  <c r="AI9" i="118"/>
  <c r="AM9" i="118" s="1"/>
  <c r="AJ9" i="118"/>
  <c r="AK9" i="118"/>
  <c r="AL9" i="118"/>
  <c r="AI10" i="118"/>
  <c r="AJ10" i="118"/>
  <c r="AK10" i="118"/>
  <c r="AL10" i="118"/>
  <c r="AM10" i="118" s="1"/>
  <c r="AI11" i="118"/>
  <c r="AJ11" i="118"/>
  <c r="AK11" i="118"/>
  <c r="AL11" i="118"/>
  <c r="AM11" i="118" s="1"/>
  <c r="AI12" i="118"/>
  <c r="AM12" i="118" s="1"/>
  <c r="AJ12" i="118"/>
  <c r="AK12" i="118"/>
  <c r="AL12" i="118"/>
  <c r="AI13" i="118"/>
  <c r="AJ13" i="118"/>
  <c r="AK13" i="118"/>
  <c r="AL13" i="118"/>
  <c r="AM13" i="118" s="1"/>
  <c r="AI14" i="118"/>
  <c r="AM14" i="118" s="1"/>
  <c r="AJ14" i="118"/>
  <c r="AK14" i="118"/>
  <c r="AL14" i="118"/>
  <c r="AI15" i="118"/>
  <c r="AJ15" i="118"/>
  <c r="AM15" i="118" s="1"/>
  <c r="AK15" i="118"/>
  <c r="AL15" i="118"/>
  <c r="AI16" i="118"/>
  <c r="AJ16" i="118"/>
  <c r="AK16" i="118"/>
  <c r="AL16" i="118"/>
  <c r="AM16" i="118"/>
  <c r="AI17" i="118"/>
  <c r="AJ17" i="118"/>
  <c r="AK17" i="118"/>
  <c r="AL17" i="118"/>
  <c r="AM17" i="118"/>
  <c r="AI18" i="118"/>
  <c r="AJ18" i="118"/>
  <c r="AK18" i="118"/>
  <c r="AL18" i="118"/>
  <c r="AM18" i="118" s="1"/>
  <c r="AI19" i="118"/>
  <c r="AM19" i="118" s="1"/>
  <c r="AJ19" i="118"/>
  <c r="AK19" i="118"/>
  <c r="AL19" i="118"/>
  <c r="AI20" i="118"/>
  <c r="AJ20" i="118"/>
  <c r="AK20" i="118"/>
  <c r="AL20" i="118"/>
  <c r="AM20" i="118"/>
  <c r="AI21" i="118"/>
  <c r="AM21" i="118" s="1"/>
  <c r="AJ21" i="118"/>
  <c r="AK21" i="118"/>
  <c r="AL21" i="118"/>
  <c r="AI22" i="118"/>
  <c r="AJ22" i="118"/>
  <c r="AK22" i="118"/>
  <c r="AL22" i="118"/>
  <c r="AM22" i="118" s="1"/>
  <c r="AI23" i="118"/>
  <c r="AJ23" i="118"/>
  <c r="AK23" i="118"/>
  <c r="AL23" i="118"/>
  <c r="AM23" i="118"/>
  <c r="AI24" i="118"/>
  <c r="AM24" i="118" s="1"/>
  <c r="AJ24" i="118"/>
  <c r="AK24" i="118"/>
  <c r="AL24" i="118"/>
  <c r="AI25" i="118"/>
  <c r="AJ25" i="118"/>
  <c r="AK25" i="118"/>
  <c r="AL25" i="118"/>
  <c r="AM25" i="118"/>
  <c r="AI26" i="118"/>
  <c r="AM26" i="118" s="1"/>
  <c r="AJ26" i="118"/>
  <c r="AK26" i="118"/>
  <c r="AL26" i="118"/>
  <c r="AI27" i="118"/>
  <c r="AJ27" i="118"/>
  <c r="AM27" i="118" s="1"/>
  <c r="AK27" i="118"/>
  <c r="AL27" i="118"/>
  <c r="AI28" i="118"/>
  <c r="AJ28" i="118"/>
  <c r="AK28" i="118"/>
  <c r="AL28" i="118"/>
  <c r="AM28" i="118"/>
  <c r="AI29" i="118"/>
  <c r="AJ29" i="118"/>
  <c r="AK29" i="118"/>
  <c r="AL29" i="118"/>
  <c r="AM29" i="118"/>
  <c r="AI30" i="118"/>
  <c r="AJ30" i="118"/>
  <c r="AK30" i="118"/>
  <c r="AL30" i="118"/>
  <c r="AM30" i="118" s="1"/>
  <c r="AI31" i="118"/>
  <c r="AM31" i="118" s="1"/>
  <c r="AJ31" i="118"/>
  <c r="AK31" i="118"/>
  <c r="AL31" i="118"/>
  <c r="AI32" i="118"/>
  <c r="AJ32" i="118"/>
  <c r="AK32" i="118"/>
  <c r="AL32" i="118"/>
  <c r="AM32" i="118"/>
  <c r="AI33" i="118"/>
  <c r="AM33" i="118" s="1"/>
  <c r="AJ33" i="118"/>
  <c r="AK33" i="118"/>
  <c r="AL33" i="118"/>
  <c r="AI34" i="118"/>
  <c r="AJ34" i="118"/>
  <c r="AK34" i="118"/>
  <c r="AL34" i="118"/>
  <c r="AM34" i="118" s="1"/>
  <c r="AI35" i="118"/>
  <c r="AJ35" i="118"/>
  <c r="AK35" i="118"/>
  <c r="AL35" i="118"/>
  <c r="AM35" i="118"/>
  <c r="AI36" i="118"/>
  <c r="AM36" i="118" s="1"/>
  <c r="AJ36" i="118"/>
  <c r="AK36" i="118"/>
  <c r="AL36" i="118"/>
  <c r="AI37" i="118"/>
  <c r="AJ37" i="118"/>
  <c r="AK37" i="118"/>
  <c r="AL37" i="118"/>
  <c r="AM37" i="118"/>
  <c r="AI38" i="118"/>
  <c r="AM38" i="118" s="1"/>
  <c r="AJ38" i="118"/>
  <c r="AK38" i="118"/>
  <c r="AL38" i="118"/>
  <c r="AI39" i="118"/>
  <c r="AJ39" i="118"/>
  <c r="AK39" i="118"/>
  <c r="AM39" i="118" s="1"/>
  <c r="AL39" i="118"/>
  <c r="AI40" i="118"/>
  <c r="AJ40" i="118"/>
  <c r="AK40" i="118"/>
  <c r="AL40" i="118"/>
  <c r="AM40" i="118"/>
  <c r="AI41" i="118"/>
  <c r="AJ41" i="118"/>
  <c r="AK41" i="118"/>
  <c r="AL41" i="118"/>
  <c r="AM41" i="118"/>
  <c r="AI42" i="118"/>
  <c r="AJ42" i="118"/>
  <c r="AK42" i="118"/>
  <c r="AL42" i="118"/>
  <c r="AM42" i="118" s="1"/>
  <c r="AI43" i="118"/>
  <c r="AM43" i="118" s="1"/>
  <c r="AJ43" i="118"/>
  <c r="AK43" i="118"/>
  <c r="AL43" i="118"/>
  <c r="AL4" i="118"/>
  <c r="AK4" i="118"/>
  <c r="AJ4" i="118"/>
  <c r="AI4" i="118"/>
  <c r="AM4" i="118" s="1"/>
  <c r="AN12" i="118" l="1"/>
  <c r="AP12" i="118" s="1"/>
  <c r="AN17" i="118"/>
  <c r="AN22" i="118"/>
  <c r="AP22" i="118" s="1"/>
  <c r="AN23" i="118"/>
  <c r="AN26" i="118"/>
  <c r="AP26" i="118" s="1"/>
  <c r="AN29" i="118"/>
  <c r="AN37" i="118"/>
  <c r="AN4" i="118"/>
  <c r="AN43" i="118"/>
  <c r="AN42" i="118"/>
  <c r="AN40" i="118"/>
  <c r="AN39" i="118"/>
  <c r="AN36" i="118"/>
  <c r="AP36" i="118" s="1"/>
  <c r="AN33" i="118"/>
  <c r="AN32" i="118"/>
  <c r="AP32" i="118" s="1"/>
  <c r="AN31" i="118"/>
  <c r="AN30" i="118"/>
  <c r="AP30" i="118" s="1"/>
  <c r="AN28" i="118"/>
  <c r="AP28" i="118" s="1"/>
  <c r="AN27" i="118"/>
  <c r="AN24" i="118"/>
  <c r="AP24" i="118" s="1"/>
  <c r="AN21" i="118"/>
  <c r="AN20" i="118"/>
  <c r="AN19" i="118"/>
  <c r="AN18" i="118"/>
  <c r="AP18" i="118" s="1"/>
  <c r="AN16" i="118"/>
  <c r="AN15" i="118"/>
  <c r="AN11" i="118"/>
  <c r="AN10" i="118"/>
  <c r="AN9" i="118"/>
  <c r="AN8" i="118"/>
  <c r="AP8" i="118" s="1"/>
  <c r="AN7" i="118"/>
  <c r="AN6" i="118"/>
  <c r="AP6" i="118" s="1"/>
  <c r="Y7" i="118"/>
  <c r="AG7" i="118"/>
  <c r="AG20" i="118"/>
  <c r="AG21" i="118"/>
  <c r="AG22" i="118"/>
  <c r="AG27" i="118"/>
  <c r="AG28" i="118"/>
  <c r="AG6" i="118"/>
  <c r="AG9" i="118"/>
  <c r="AG11" i="118"/>
  <c r="AG12" i="118"/>
  <c r="AG14" i="118"/>
  <c r="AG15" i="118"/>
  <c r="AG18" i="118"/>
  <c r="AG19" i="118"/>
  <c r="Y9" i="118"/>
  <c r="Y11" i="118"/>
  <c r="Y12" i="118"/>
  <c r="Y14" i="118"/>
  <c r="Y15" i="118"/>
  <c r="Y18" i="118"/>
  <c r="Y19" i="118"/>
  <c r="Y20" i="118"/>
  <c r="Y21" i="118"/>
  <c r="Y22" i="118"/>
  <c r="Y27" i="118"/>
  <c r="Y28" i="118"/>
  <c r="Y6" i="118"/>
  <c r="AN14" i="118" l="1"/>
  <c r="AN35" i="118"/>
  <c r="AQ35" i="118" s="1"/>
  <c r="AN41" i="118"/>
  <c r="AP41" i="118" s="1"/>
  <c r="AQ41" i="118" s="1"/>
  <c r="AN25" i="118"/>
  <c r="AN13" i="118"/>
  <c r="AN34" i="118"/>
  <c r="AP34" i="118" s="1"/>
  <c r="AN38" i="118"/>
  <c r="AP38" i="118" s="1"/>
  <c r="AQ38" i="118" s="1"/>
  <c r="AN5" i="118"/>
  <c r="AP5" i="118" s="1"/>
  <c r="AQ5" i="118" s="1"/>
  <c r="AQ12" i="118"/>
  <c r="AP7" i="118"/>
  <c r="AQ7" i="118" s="1"/>
  <c r="AP11" i="118"/>
  <c r="AQ11" i="118" s="1"/>
  <c r="AP15" i="118"/>
  <c r="AQ15" i="118" s="1"/>
  <c r="AP19" i="118"/>
  <c r="AQ19" i="118" s="1"/>
  <c r="AP23" i="118"/>
  <c r="AQ23" i="118" s="1"/>
  <c r="AP27" i="118"/>
  <c r="AQ27" i="118" s="1"/>
  <c r="AP31" i="118"/>
  <c r="AQ31" i="118" s="1"/>
  <c r="AP35" i="118"/>
  <c r="AP39" i="118"/>
  <c r="AQ39" i="118" s="1"/>
  <c r="AP43" i="118"/>
  <c r="AQ43" i="118" s="1"/>
  <c r="AP16" i="118"/>
  <c r="AQ16" i="118" s="1"/>
  <c r="AP20" i="118"/>
  <c r="AQ20" i="118" s="1"/>
  <c r="AP40" i="118"/>
  <c r="AQ40" i="118" s="1"/>
  <c r="AQ32" i="118"/>
  <c r="AP10" i="118"/>
  <c r="AQ10" i="118" s="1"/>
  <c r="AP42" i="118"/>
  <c r="AQ42" i="118" s="1"/>
  <c r="AP4" i="118"/>
  <c r="AQ4" i="118" s="1"/>
  <c r="AQ24" i="118"/>
  <c r="AP14" i="118"/>
  <c r="AQ14" i="118" s="1"/>
  <c r="AQ6" i="118"/>
  <c r="AQ18" i="118"/>
  <c r="AQ22" i="118"/>
  <c r="AQ26" i="118"/>
  <c r="AQ30" i="118"/>
  <c r="AQ28" i="118"/>
  <c r="AQ8" i="118"/>
  <c r="AQ36" i="118"/>
  <c r="AP9" i="118"/>
  <c r="AQ9" i="118" s="1"/>
  <c r="AP13" i="118"/>
  <c r="AQ13" i="118" s="1"/>
  <c r="AP17" i="118"/>
  <c r="AQ17" i="118" s="1"/>
  <c r="AP21" i="118"/>
  <c r="AQ21" i="118" s="1"/>
  <c r="AP25" i="118"/>
  <c r="AP29" i="118"/>
  <c r="AQ29" i="118" s="1"/>
  <c r="AP33" i="118"/>
  <c r="AQ33" i="118" s="1"/>
  <c r="AP37" i="118"/>
  <c r="AQ37" i="118" s="1"/>
  <c r="AE8" i="118"/>
  <c r="AE9" i="118"/>
  <c r="AE11" i="118"/>
  <c r="AE12" i="118"/>
  <c r="AE13" i="118"/>
  <c r="AE16" i="118"/>
  <c r="AE19" i="118"/>
  <c r="AE22" i="118"/>
  <c r="AE24" i="118"/>
  <c r="W11" i="118"/>
  <c r="W12" i="118"/>
  <c r="W14" i="118"/>
  <c r="W21" i="118"/>
  <c r="W22" i="118"/>
  <c r="W24" i="118"/>
  <c r="W6" i="118"/>
  <c r="W4" i="118"/>
  <c r="AE4" i="118"/>
  <c r="AE7" i="118"/>
  <c r="AC9" i="118"/>
  <c r="AC11" i="118"/>
  <c r="AC12" i="118"/>
  <c r="AC13" i="118"/>
  <c r="AC14" i="118"/>
  <c r="AC15" i="118"/>
  <c r="AC19" i="118"/>
  <c r="AC20" i="118"/>
  <c r="AC22" i="118"/>
  <c r="AC23" i="118"/>
  <c r="AC24" i="118"/>
  <c r="AC28" i="118"/>
  <c r="U9" i="118"/>
  <c r="U11" i="118"/>
  <c r="U13" i="118"/>
  <c r="U14" i="118"/>
  <c r="U15" i="118"/>
  <c r="U19" i="118"/>
  <c r="U20" i="118"/>
  <c r="U21" i="118"/>
  <c r="U22" i="118"/>
  <c r="U23" i="118"/>
  <c r="U24" i="118"/>
  <c r="U25" i="118"/>
  <c r="U27" i="118"/>
  <c r="U28" i="118"/>
  <c r="AC8" i="118"/>
  <c r="AC6" i="118"/>
  <c r="U6" i="118"/>
  <c r="U8" i="118"/>
  <c r="AA7" i="118"/>
  <c r="AA8" i="118"/>
  <c r="AA9" i="118"/>
  <c r="AA10" i="118"/>
  <c r="AA11" i="118"/>
  <c r="AA12" i="118"/>
  <c r="AA13" i="118"/>
  <c r="AA14" i="118"/>
  <c r="AA15" i="118"/>
  <c r="AA16" i="118"/>
  <c r="AA17" i="118"/>
  <c r="AA18" i="118"/>
  <c r="AA19" i="118"/>
  <c r="AA20" i="118"/>
  <c r="AA21" i="118"/>
  <c r="AA22" i="118"/>
  <c r="AA23" i="118"/>
  <c r="AA24" i="118"/>
  <c r="AA25" i="118"/>
  <c r="AA28" i="118"/>
  <c r="S7" i="118"/>
  <c r="S8" i="118"/>
  <c r="S9" i="118"/>
  <c r="S10" i="118"/>
  <c r="S11" i="118"/>
  <c r="S12" i="118"/>
  <c r="S13" i="118"/>
  <c r="S14" i="118"/>
  <c r="S15" i="118"/>
  <c r="S16" i="118"/>
  <c r="S17" i="118"/>
  <c r="S18" i="118"/>
  <c r="S19" i="118"/>
  <c r="S20" i="118"/>
  <c r="S21" i="118"/>
  <c r="S22" i="118"/>
  <c r="S23" i="118"/>
  <c r="S24" i="118"/>
  <c r="S25" i="118"/>
  <c r="S28" i="118"/>
  <c r="AA6" i="118"/>
  <c r="AA27" i="118"/>
  <c r="AA4" i="118"/>
  <c r="S6" i="118"/>
  <c r="S27" i="118"/>
  <c r="S4" i="118"/>
  <c r="AQ25" i="118" l="1"/>
  <c r="AQ34" i="118"/>
  <c r="AT38" i="118"/>
  <c r="AU38" i="118" s="1"/>
  <c r="AV38" i="118" s="1"/>
  <c r="AY38" i="118" s="1"/>
  <c r="AT39" i="118"/>
  <c r="AU39" i="118" s="1"/>
  <c r="AV39" i="118" s="1"/>
  <c r="AY39" i="118" s="1"/>
  <c r="AT33" i="118"/>
  <c r="AU33" i="118" s="1"/>
  <c r="AV33" i="118" s="1"/>
  <c r="AY33" i="118" s="1"/>
  <c r="AT31" i="118"/>
  <c r="AU31" i="118" s="1"/>
  <c r="AV31" i="118" s="1"/>
  <c r="AY31" i="118" s="1"/>
  <c r="AT42" i="118"/>
  <c r="AU42" i="118" s="1"/>
  <c r="AV42" i="118" s="1"/>
  <c r="AY42" i="118" s="1"/>
  <c r="AT36" i="118"/>
  <c r="AU36" i="118" s="1"/>
  <c r="AV36" i="118" s="1"/>
  <c r="AY36" i="118" s="1"/>
  <c r="AT30" i="118"/>
  <c r="AU30" i="118" s="1"/>
  <c r="AV30" i="118" s="1"/>
  <c r="AY30" i="118" s="1"/>
  <c r="AT40" i="118"/>
  <c r="AU40" i="118" s="1"/>
  <c r="AV40" i="118" s="1"/>
  <c r="AY40" i="118" s="1"/>
  <c r="AT19" i="118"/>
  <c r="AU19" i="118"/>
  <c r="AV19" i="118" s="1"/>
  <c r="AY19" i="118" s="1"/>
  <c r="AT15" i="118"/>
  <c r="AU15" i="118" s="1"/>
  <c r="AV15" i="118" s="1"/>
  <c r="AY15" i="118" s="1"/>
  <c r="AU7" i="118"/>
  <c r="AV7" i="118" s="1"/>
  <c r="AY7" i="118" s="1"/>
  <c r="AT29" i="118"/>
  <c r="AU29" i="118" s="1"/>
  <c r="AV29" i="118" s="1"/>
  <c r="AY29" i="118" s="1"/>
  <c r="AT43" i="118"/>
  <c r="AU43" i="118" s="1"/>
  <c r="AV43" i="118" s="1"/>
  <c r="AY43" i="118" s="1"/>
  <c r="AT14" i="118"/>
  <c r="AU14" i="118" s="1"/>
  <c r="AV14" i="118" s="1"/>
  <c r="AY14" i="118" s="1"/>
  <c r="AT10" i="118"/>
  <c r="AU10" i="118" s="1"/>
  <c r="AV10" i="118" s="1"/>
  <c r="AY10" i="118" s="1"/>
  <c r="AT11" i="118"/>
  <c r="AU11" i="118" s="1"/>
  <c r="AV11" i="118" s="1"/>
  <c r="AY11" i="118" s="1"/>
  <c r="AT23" i="118"/>
  <c r="AU23" i="118" s="1"/>
  <c r="AV23" i="118" s="1"/>
  <c r="AY23" i="118" s="1"/>
  <c r="AT41" i="118"/>
  <c r="AU41" i="118"/>
  <c r="AV41" i="118" s="1"/>
  <c r="AY41" i="118" s="1"/>
  <c r="AT37" i="118"/>
  <c r="AU37" i="118" s="1"/>
  <c r="AV37" i="118" s="1"/>
  <c r="AY37" i="118" s="1"/>
  <c r="AT20" i="118"/>
  <c r="AU20" i="118" s="1"/>
  <c r="AV20" i="118" s="1"/>
  <c r="AY20" i="118" s="1"/>
  <c r="AT13" i="118"/>
  <c r="AU13" i="118" s="1"/>
  <c r="AV13" i="118" s="1"/>
  <c r="AY13" i="118" s="1"/>
  <c r="AT9" i="118"/>
  <c r="AU9" i="118" s="1"/>
  <c r="AV9" i="118" s="1"/>
  <c r="AY9" i="118" s="1"/>
  <c r="AV4" i="118"/>
  <c r="AY4" i="118" s="1"/>
  <c r="AT27" i="118"/>
  <c r="AU27" i="118" s="1"/>
  <c r="AV27" i="118" s="1"/>
  <c r="AY27" i="118" s="1"/>
  <c r="AT21" i="118"/>
  <c r="AU21" i="118" s="1"/>
  <c r="AV21" i="118" s="1"/>
  <c r="AY21" i="118" s="1"/>
  <c r="AT32" i="118"/>
  <c r="AU32" i="118" s="1"/>
  <c r="AV32" i="118" s="1"/>
  <c r="AY32" i="118" s="1"/>
  <c r="AT12" i="118"/>
  <c r="AU12" i="118" s="1"/>
  <c r="AV12" i="118" s="1"/>
  <c r="AY12" i="118" s="1"/>
  <c r="AT28" i="118"/>
  <c r="AU28" i="118" s="1"/>
  <c r="AV28" i="118" s="1"/>
  <c r="AY28" i="118" s="1"/>
  <c r="AT25" i="118"/>
  <c r="AU25" i="118"/>
  <c r="AV25" i="118" s="1"/>
  <c r="AY25" i="118" s="1"/>
  <c r="AT22" i="118"/>
  <c r="AU22" i="118" s="1"/>
  <c r="AV22" i="118" s="1"/>
  <c r="AY22" i="118" s="1"/>
  <c r="AT8" i="118"/>
  <c r="AU8" i="118" s="1"/>
  <c r="AV8" i="118" s="1"/>
  <c r="AY8" i="118" s="1"/>
  <c r="AT18" i="118"/>
  <c r="AU18" i="118" s="1"/>
  <c r="AV18" i="118" s="1"/>
  <c r="AY18" i="118" s="1"/>
  <c r="AT35" i="118"/>
  <c r="AU35" i="118" s="1"/>
  <c r="AV35" i="118" s="1"/>
  <c r="AY35" i="118" s="1"/>
  <c r="AT24" i="118"/>
  <c r="AU24" i="118" s="1"/>
  <c r="AV24" i="118" s="1"/>
  <c r="AY24" i="118" s="1"/>
  <c r="AT6" i="118"/>
  <c r="AU6" i="118" s="1"/>
  <c r="AV6" i="118" s="1"/>
  <c r="AY6" i="118" s="1"/>
  <c r="AT34" i="118" l="1"/>
  <c r="AU34" i="118" s="1"/>
  <c r="AV34" i="118" s="1"/>
  <c r="AY34" i="118" s="1"/>
  <c r="AT16" i="118"/>
  <c r="AU16" i="118" s="1"/>
  <c r="AT5" i="118"/>
  <c r="AU5" i="118" s="1"/>
  <c r="AV5" i="118" s="1"/>
  <c r="AY5" i="118" s="1"/>
  <c r="AT26" i="118"/>
  <c r="AU26" i="118" s="1"/>
  <c r="AT17" i="118"/>
  <c r="AU17" i="118" s="1"/>
  <c r="AV26" i="118" l="1"/>
  <c r="AY26" i="118" s="1"/>
  <c r="AX26" i="118"/>
  <c r="AV17" i="118"/>
  <c r="AY17" i="118" s="1"/>
  <c r="AX17" i="118"/>
  <c r="AV16" i="118"/>
  <c r="AY16" i="118" s="1"/>
  <c r="AX16" i="118"/>
</calcChain>
</file>

<file path=xl/sharedStrings.xml><?xml version="1.0" encoding="utf-8"?>
<sst xmlns="http://schemas.openxmlformats.org/spreadsheetml/2006/main" count="85" uniqueCount="61">
  <si>
    <r>
      <rPr>
        <sz val="8"/>
        <color rgb="FF231F20"/>
        <rFont val="Verdana"/>
        <family val="2"/>
      </rPr>
      <t>P1</t>
    </r>
  </si>
  <si>
    <r>
      <rPr>
        <sz val="8"/>
        <color rgb="FF231F20"/>
        <rFont val="Verdana"/>
        <family val="2"/>
      </rPr>
      <t>RP1</t>
    </r>
  </si>
  <si>
    <r>
      <rPr>
        <sz val="8"/>
        <color rgb="FF231F20"/>
        <rFont val="Verdana"/>
        <family val="2"/>
      </rPr>
      <t>P2</t>
    </r>
  </si>
  <si>
    <r>
      <rPr>
        <sz val="8"/>
        <color rgb="FF231F20"/>
        <rFont val="Verdana"/>
        <family val="2"/>
      </rPr>
      <t>RP2</t>
    </r>
  </si>
  <si>
    <r>
      <rPr>
        <sz val="8"/>
        <color rgb="FF231F20"/>
        <rFont val="Verdana"/>
        <family val="2"/>
      </rPr>
      <t>P3</t>
    </r>
  </si>
  <si>
    <r>
      <rPr>
        <sz val="8"/>
        <color rgb="FF231F20"/>
        <rFont val="Verdana"/>
        <family val="2"/>
      </rPr>
      <t>RP3</t>
    </r>
  </si>
  <si>
    <r>
      <rPr>
        <sz val="8"/>
        <color rgb="FF231F20"/>
        <rFont val="Verdana"/>
        <family val="2"/>
      </rPr>
      <t>P4</t>
    </r>
  </si>
  <si>
    <r>
      <rPr>
        <sz val="8"/>
        <color rgb="FF231F20"/>
        <rFont val="Verdana"/>
        <family val="2"/>
      </rPr>
      <t>RP4</t>
    </r>
  </si>
  <si>
    <r>
      <rPr>
        <b/>
        <sz val="8"/>
        <color rgb="FF231F20"/>
        <rFont val="Trebuchet MS"/>
        <family val="2"/>
      </rPr>
      <t>Competencias</t>
    </r>
  </si>
  <si>
    <r>
      <rPr>
        <b/>
        <sz val="9"/>
        <color rgb="FF231F20"/>
        <rFont val="Trebuchet MS"/>
        <family val="2"/>
      </rPr>
      <t>Promedio de Competencias Especificas</t>
    </r>
  </si>
  <si>
    <r>
      <rPr>
        <b/>
        <sz val="8"/>
        <color rgb="FF231F20"/>
        <rFont val="Trebuchet MS"/>
        <family val="2"/>
      </rPr>
      <t>Calificación final</t>
    </r>
  </si>
  <si>
    <r>
      <rPr>
        <b/>
        <sz val="8"/>
        <color rgb="FF231F20"/>
        <rFont val="Trebuchet MS"/>
        <family val="2"/>
      </rPr>
      <t>PC1: Competencia 1</t>
    </r>
  </si>
  <si>
    <r>
      <rPr>
        <b/>
        <sz val="8"/>
        <color rgb="FF231F20"/>
        <rFont val="Trebuchet MS"/>
        <family val="2"/>
      </rPr>
      <t>PC2: Competencia 2</t>
    </r>
  </si>
  <si>
    <r>
      <rPr>
        <b/>
        <sz val="8"/>
        <color rgb="FF231F20"/>
        <rFont val="Trebuchet MS"/>
        <family val="2"/>
      </rPr>
      <t>PC3: Competencia 3</t>
    </r>
  </si>
  <si>
    <r>
      <rPr>
        <b/>
        <sz val="8"/>
        <color rgb="FF231F20"/>
        <rFont val="Trebuchet MS"/>
        <family val="2"/>
      </rPr>
      <t>PC4: Competencia 4</t>
    </r>
  </si>
  <si>
    <t>nombre</t>
  </si>
  <si>
    <r>
      <rPr>
        <b/>
        <sz val="9"/>
        <color rgb="FF231F20"/>
        <rFont val="Verdana"/>
        <family val="2"/>
      </rPr>
      <t>CE-MAT1</t>
    </r>
    <r>
      <rPr>
        <sz val="9"/>
        <color rgb="FF231F20"/>
        <rFont val="Verdana"/>
        <family val="2"/>
      </rPr>
      <t>- Elabora conjeturas y argumentos convincentes para presentar y discutir las propias ideas matemáticas.</t>
    </r>
  </si>
  <si>
    <r>
      <rPr>
        <b/>
        <sz val="9"/>
        <color rgb="FF231F20"/>
        <rFont val="Verdana"/>
        <family val="2"/>
      </rPr>
      <t>CE-MAT5</t>
    </r>
    <r>
      <rPr>
        <sz val="9"/>
        <color rgb="FF231F20"/>
        <rFont val="Verdana"/>
        <family val="2"/>
      </rPr>
      <t xml:space="preserve">- Aplica herramientas tecnológicas para la resolución e interpretación de problemas del entorno y a partir de los conocimientos matemáticos que posee.
</t>
    </r>
    <r>
      <rPr>
        <b/>
        <sz val="9"/>
        <color rgb="FF231F20"/>
        <rFont val="Verdana"/>
        <family val="2"/>
      </rPr>
      <t>CE-MAT6</t>
    </r>
    <r>
      <rPr>
        <sz val="9"/>
        <color rgb="FF231F20"/>
        <rFont val="Verdana"/>
        <family val="2"/>
      </rPr>
      <t>- Aplica modelos matemáticos para estudiar situaciones del medioambiente que afecten la vida de la comunidad escolar.</t>
    </r>
  </si>
  <si>
    <r>
      <rPr>
        <b/>
        <sz val="10"/>
        <color rgb="FF000000"/>
        <rFont val="Verdana"/>
        <family val="2"/>
      </rPr>
      <t>CE-MAT4</t>
    </r>
    <r>
      <rPr>
        <sz val="10"/>
        <color rgb="FF000000"/>
        <rFont val="Verdana"/>
        <family val="2"/>
      </rPr>
      <t xml:space="preserve">- Muestra autonomía en la búsqueda de soluciones a situaciones relacionadas con los conocimientos matemáticos, respetando los diferentes criterios de solución de los demás.
</t>
    </r>
    <r>
      <rPr>
        <b/>
        <sz val="10"/>
        <color rgb="FF000000"/>
        <rFont val="Verdana"/>
        <family val="2"/>
      </rPr>
      <t>CE-MAT7</t>
    </r>
    <r>
      <rPr>
        <sz val="10"/>
        <color rgb="FF000000"/>
        <rFont val="Verdana"/>
        <family val="2"/>
      </rPr>
      <t>- Muestra autonomía en la búsqueda de soluciones a situaciones de problemas matemáticos, respetando los diferentes criterios de abordaje de sus compañeros.</t>
    </r>
  </si>
  <si>
    <r>
      <rPr>
        <b/>
        <sz val="9"/>
        <color rgb="FF231F20"/>
        <rFont val="Verdana"/>
        <family val="2"/>
      </rPr>
      <t>CE-MAT2</t>
    </r>
    <r>
      <rPr>
        <sz val="9"/>
        <color rgb="FF231F20"/>
        <rFont val="Verdana"/>
        <family val="2"/>
      </rPr>
      <t>- Aplica procesos de razonamientos, con especial atención al razonamiento espacial y al razonamiento con proporciones y gráficas para la comprensión e interpretación del entorno.
-</t>
    </r>
    <r>
      <rPr>
        <b/>
        <sz val="9"/>
        <color rgb="FF231F20"/>
        <rFont val="Verdana"/>
        <family val="2"/>
      </rPr>
      <t xml:space="preserve"> CE-MAT3</t>
    </r>
    <r>
      <rPr>
        <sz val="9"/>
        <color rgb="FF231F20"/>
        <rFont val="Verdana"/>
        <family val="2"/>
      </rPr>
      <t>- Desarrolla diversas estrategias para resolver problemas del contexto, dentro y fuera de la matemática, interpretando y verificando los resultados en relación con la situación del problema original.</t>
    </r>
  </si>
  <si>
    <t>Canario Pérez Alejandro</t>
  </si>
  <si>
    <t>Cano Luis Gabriel</t>
  </si>
  <si>
    <t>De Jesús Javier Raudi Antonio</t>
  </si>
  <si>
    <t>Decena Arias Cristal Yudelka</t>
  </si>
  <si>
    <t>Espinal Castro Samier José</t>
  </si>
  <si>
    <t>Jerez Polanco Bivianni</t>
  </si>
  <si>
    <t>Joaquín Ventura Sindy Luz</t>
  </si>
  <si>
    <t>López Alvarez Otoniel</t>
  </si>
  <si>
    <t>López Paulino Kenderson</t>
  </si>
  <si>
    <t>lorenzo Paulino  Jelier</t>
  </si>
  <si>
    <t>Muñoz Rosario Eddianny</t>
  </si>
  <si>
    <t>Osorio Polanco Solanyi</t>
  </si>
  <si>
    <t>Paniagua Gurrume Jantna Alexa</t>
  </si>
  <si>
    <t>Paredes Acosta Yandri</t>
  </si>
  <si>
    <t>Rodríguez García Berielin</t>
  </si>
  <si>
    <t>Ruane Amaro Eliezer Santana</t>
  </si>
  <si>
    <t>Santiago De Jesús Francelis Cristina</t>
  </si>
  <si>
    <t>Segundo Hernández Luz Yarielys</t>
  </si>
  <si>
    <t>Suarez De Jesús Fernando</t>
  </si>
  <si>
    <t>Taveras Leslie Mariel</t>
  </si>
  <si>
    <t>Taveras Lewis Enmanuel</t>
  </si>
  <si>
    <t>Ventura Ventura Andry</t>
  </si>
  <si>
    <t xml:space="preserve">Hernandez Esmalin </t>
  </si>
  <si>
    <t>Moronta Minaya  Marcelo Antonio</t>
  </si>
  <si>
    <r>
      <t xml:space="preserve">MATEMÁTICA                                                   </t>
    </r>
    <r>
      <rPr>
        <b/>
        <sz val="28"/>
        <color rgb="FF231F20"/>
        <rFont val="Trebuchet MS"/>
        <family val="2"/>
      </rPr>
      <t>Grado: 2do B</t>
    </r>
    <r>
      <rPr>
        <sz val="28"/>
        <color rgb="FF231F20"/>
        <rFont val="Trebuchet MS"/>
        <family val="2"/>
      </rPr>
      <t>.</t>
    </r>
  </si>
  <si>
    <t>CALIFICACIÓN
COMPLETIVA</t>
  </si>
  <si>
    <t>CALIFICACION
EXTRAORDINARIA</t>
  </si>
  <si>
    <t xml:space="preserve">CALIFICACIONES
ESPECIALES
</t>
  </si>
  <si>
    <t xml:space="preserve">
SITUACIÓN
FINAL EN LA
ASIGNATURA</t>
  </si>
  <si>
    <t>50% C.F.</t>
  </si>
  <si>
    <t>C.E.C</t>
  </si>
  <si>
    <t>50% C.E.C</t>
  </si>
  <si>
    <t>C.C.F</t>
  </si>
  <si>
    <t>30% C.F</t>
  </si>
  <si>
    <t>C.E.EX</t>
  </si>
  <si>
    <t>70% C.E.EX</t>
  </si>
  <si>
    <t>C.EX.F</t>
  </si>
  <si>
    <t>C.F.</t>
  </si>
  <si>
    <t>C.E</t>
  </si>
  <si>
    <t>A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</si>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</sst>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Times New Roman"/>
      <charset val="204"/>
    </font>
    <font>
      <sz val="8"/>
      <name val="Verdana"/>
    </font>
    <font>
      <sz val="8"/>
      <color rgb="FF231F20"/>
      <name val="Lucida Sans Unicode"/>
      <family val="2"/>
    </font>
    <font>
      <b/>
      <sz val="8"/>
      <name val="Trebuchet MS"/>
    </font>
    <font>
      <b/>
      <sz val="9"/>
      <name val="Trebuchet MS"/>
    </font>
    <font>
      <sz val="9"/>
      <color rgb="FF231F20"/>
      <name val="Verdana"/>
      <family val="2"/>
    </font>
    <font>
      <sz val="8"/>
      <color rgb="FF231F20"/>
      <name val="Verdana"/>
      <family val="2"/>
    </font>
    <font>
      <b/>
      <sz val="9"/>
      <color rgb="FF231F20"/>
      <name val="Trebuchet MS"/>
      <family val="2"/>
    </font>
    <font>
      <b/>
      <sz val="8"/>
      <color rgb="FF231F20"/>
      <name val="Trebuchet MS"/>
      <family val="2"/>
    </font>
    <font>
      <sz val="16"/>
      <color rgb="FF000000"/>
      <name val="Times New Roman"/>
      <family val="1"/>
    </font>
    <font>
      <b/>
      <sz val="9"/>
      <color rgb="FF231F20"/>
      <name val="Verdana"/>
      <family val="2"/>
    </font>
    <font>
      <sz val="16"/>
      <color rgb="FF000000"/>
      <name val="Times New Roman"/>
      <family val="1"/>
      <charset val="204"/>
    </font>
    <font>
      <sz val="28"/>
      <color rgb="FF231F20"/>
      <name val="Trebuchet MS"/>
      <family val="2"/>
    </font>
    <font>
      <b/>
      <sz val="28"/>
      <color rgb="FF231F20"/>
      <name val="Trebuchet MS"/>
      <family val="2"/>
    </font>
    <font>
      <sz val="28"/>
      <color rgb="FF000000"/>
      <name val="Times New Roman"/>
      <charset val="204"/>
    </font>
    <font>
      <sz val="12"/>
      <color rgb="FF231F20"/>
      <name val="Lucida Sans Unicode"/>
      <family val="2"/>
    </font>
    <font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1D3D4"/>
      </patternFill>
    </fill>
    <fill>
      <patternFill patternType="solid">
        <fgColor rgb="FFE6E7E8"/>
      </patternFill>
    </fill>
  </fills>
  <borders count="15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rgb="FF231F20"/>
      </left>
      <right style="thin">
        <color rgb="FF231F20"/>
      </right>
      <top/>
      <bottom/>
      <diagonal/>
    </border>
    <border>
      <left/>
      <right style="thin">
        <color rgb="FF231F20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1" fillId="3" borderId="1" xfId="0" applyFont="1" applyFill="1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3" borderId="1" xfId="0" applyFont="1" applyFill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0" fontId="9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top" wrapText="1"/>
    </xf>
    <xf numFmtId="0" fontId="9" fillId="3" borderId="12" xfId="0" applyFont="1" applyFill="1" applyBorder="1" applyAlignment="1">
      <alignment horizontal="center" vertical="center" wrapText="1"/>
    </xf>
    <xf numFmtId="0" fontId="9" fillId="0" borderId="1" xfId="0" applyFont="1" applyBorder="1" applyAlignment="1" applyProtection="1">
      <alignment horizontal="center" vertical="center" wrapText="1"/>
      <protection locked="0"/>
    </xf>
    <xf numFmtId="0" fontId="9" fillId="3" borderId="12" xfId="0" applyFont="1" applyFill="1" applyBorder="1" applyAlignment="1" applyProtection="1">
      <alignment horizontal="center" vertical="center" wrapText="1"/>
      <protection locked="0"/>
    </xf>
    <xf numFmtId="1" fontId="15" fillId="0" borderId="1" xfId="0" applyNumberFormat="1" applyFont="1" applyBorder="1" applyAlignment="1" applyProtection="1">
      <alignment horizontal="left" vertical="top" shrinkToFit="1"/>
      <protection locked="0"/>
    </xf>
    <xf numFmtId="1" fontId="9" fillId="0" borderId="1" xfId="0" applyNumberFormat="1" applyFont="1" applyBorder="1" applyAlignment="1" applyProtection="1">
      <alignment horizontal="center" vertical="center" wrapText="1"/>
      <protection locked="0"/>
    </xf>
    <xf numFmtId="1" fontId="9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0" borderId="1" xfId="0" applyNumberFormat="1" applyFont="1" applyBorder="1" applyAlignment="1" applyProtection="1">
      <alignment horizontal="left" vertical="top" shrinkToFit="1"/>
      <protection locked="0"/>
    </xf>
    <xf numFmtId="1" fontId="2" fillId="0" borderId="5" xfId="0" applyNumberFormat="1" applyFont="1" applyBorder="1" applyAlignment="1" applyProtection="1">
      <alignment horizontal="left" vertical="top" shrinkToFit="1"/>
      <protection locked="0"/>
    </xf>
    <xf numFmtId="1" fontId="9" fillId="0" borderId="5" xfId="0" applyNumberFormat="1" applyFont="1" applyBorder="1" applyAlignment="1" applyProtection="1">
      <alignment horizontal="center" vertical="center" wrapText="1"/>
      <protection locked="0"/>
    </xf>
    <xf numFmtId="1" fontId="9" fillId="3" borderId="5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 applyProtection="1">
      <alignment horizontal="center" vertical="center" wrapText="1"/>
      <protection locked="0"/>
    </xf>
    <xf numFmtId="0" fontId="9" fillId="3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 applyProtection="1">
      <alignment horizontal="center" vertical="center" wrapText="1"/>
      <protection locked="0"/>
    </xf>
    <xf numFmtId="1" fontId="9" fillId="0" borderId="0" xfId="0" applyNumberFormat="1" applyFont="1" applyAlignment="1">
      <alignment horizontal="center" vertical="center" wrapText="1"/>
    </xf>
    <xf numFmtId="0" fontId="0" fillId="0" borderId="14" xfId="0" applyBorder="1" applyAlignment="1">
      <alignment horizontal="left" vertical="top"/>
    </xf>
    <xf numFmtId="1" fontId="9" fillId="0" borderId="14" xfId="0" applyNumberFormat="1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5" fillId="0" borderId="2" xfId="0" applyFont="1" applyBorder="1" applyAlignment="1" applyProtection="1">
      <alignment horizontal="left" vertical="top" wrapText="1"/>
      <protection locked="0"/>
    </xf>
    <xf numFmtId="0" fontId="0" fillId="0" borderId="4" xfId="0" applyBorder="1" applyAlignment="1" applyProtection="1">
      <alignment horizontal="left" vertical="top" wrapText="1"/>
      <protection locked="0"/>
    </xf>
    <xf numFmtId="0" fontId="0" fillId="0" borderId="3" xfId="0" applyBorder="1" applyAlignment="1" applyProtection="1">
      <alignment horizontal="left" vertical="top" wrapText="1"/>
      <protection locked="0"/>
    </xf>
    <xf numFmtId="0" fontId="12" fillId="2" borderId="0" xfId="0" applyFont="1" applyFill="1" applyAlignment="1" applyProtection="1">
      <alignment horizontal="center" vertical="top" wrapText="1"/>
      <protection locked="0"/>
    </xf>
    <xf numFmtId="0" fontId="14" fillId="2" borderId="0" xfId="0" applyFont="1" applyFill="1" applyAlignment="1" applyProtection="1">
      <alignment horizontal="center" vertical="top" wrapText="1"/>
      <protection locked="0"/>
    </xf>
    <xf numFmtId="0" fontId="14" fillId="2" borderId="8" xfId="0" applyFont="1" applyFill="1" applyBorder="1" applyAlignment="1" applyProtection="1">
      <alignment horizontal="center" vertical="top" wrapText="1"/>
      <protection locked="0"/>
    </xf>
    <xf numFmtId="0" fontId="3" fillId="0" borderId="2" xfId="0" applyFont="1" applyBorder="1" applyAlignment="1">
      <alignment horizontal="right" textRotation="90" wrapText="1"/>
    </xf>
    <xf numFmtId="0" fontId="3" fillId="0" borderId="3" xfId="0" applyFont="1" applyBorder="1" applyAlignment="1">
      <alignment horizontal="right" textRotation="90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textRotation="90" wrapText="1"/>
    </xf>
    <xf numFmtId="0" fontId="3" fillId="3" borderId="7" xfId="0" applyFont="1" applyFill="1" applyBorder="1" applyAlignment="1">
      <alignment horizontal="left" textRotation="90" wrapText="1"/>
    </xf>
    <xf numFmtId="0" fontId="3" fillId="3" borderId="6" xfId="0" applyFont="1" applyFill="1" applyBorder="1" applyAlignment="1">
      <alignment horizontal="left" textRotation="90" wrapText="1"/>
    </xf>
    <xf numFmtId="0" fontId="3" fillId="0" borderId="5" xfId="0" applyFont="1" applyBorder="1" applyAlignment="1">
      <alignment horizontal="left" textRotation="90" wrapText="1"/>
    </xf>
    <xf numFmtId="0" fontId="3" fillId="0" borderId="6" xfId="0" applyFont="1" applyBorder="1" applyAlignment="1">
      <alignment horizontal="left" textRotation="90" wrapText="1"/>
    </xf>
    <xf numFmtId="0" fontId="16" fillId="0" borderId="2" xfId="0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AY60"/>
  <sheetViews>
    <sheetView tabSelected="1" topLeftCell="Y1" zoomScale="70" zoomScaleNormal="70" workbookViewId="0">
      <selection activeCell="AT4" sqref="AT4"/>
    </sheetView>
  </sheetViews>
  <sheetFormatPr baseColWidth="10" defaultColWidth="8.77734375" defaultRowHeight="13.2" x14ac:dyDescent="0.25"/>
  <cols>
    <col min="1" max="1" width="4.6640625" customWidth="1"/>
    <col min="2" max="2" width="43.5546875" bestFit="1" customWidth="1"/>
    <col min="3" max="3" width="6" bestFit="1" customWidth="1"/>
    <col min="4" max="4" width="5.21875" bestFit="1" customWidth="1"/>
    <col min="5" max="5" width="4.44140625" bestFit="1" customWidth="1"/>
    <col min="6" max="6" width="5.44140625" bestFit="1" customWidth="1"/>
    <col min="7" max="7" width="4.44140625" bestFit="1" customWidth="1"/>
    <col min="8" max="8" width="5.44140625" bestFit="1" customWidth="1"/>
    <col min="9" max="9" width="4.33203125" bestFit="1" customWidth="1"/>
    <col min="10" max="10" width="5.44140625" bestFit="1" customWidth="1"/>
    <col min="11" max="11" width="6" bestFit="1" customWidth="1"/>
    <col min="12" max="12" width="5.21875" bestFit="1" customWidth="1"/>
    <col min="13" max="13" width="4.44140625" bestFit="1" customWidth="1"/>
    <col min="14" max="14" width="5.44140625" customWidth="1"/>
    <col min="15" max="15" width="4.44140625" bestFit="1" customWidth="1"/>
    <col min="16" max="16" width="5.44140625" bestFit="1" customWidth="1"/>
    <col min="17" max="17" width="4.33203125" bestFit="1" customWidth="1"/>
    <col min="18" max="18" width="5.44140625" bestFit="1" customWidth="1"/>
    <col min="19" max="19" width="6" bestFit="1" customWidth="1"/>
    <col min="20" max="20" width="4.33203125" bestFit="1" customWidth="1"/>
    <col min="21" max="21" width="4.44140625" bestFit="1" customWidth="1"/>
    <col min="22" max="22" width="4.33203125" bestFit="1" customWidth="1"/>
    <col min="23" max="23" width="10.88671875" customWidth="1"/>
    <col min="24" max="24" width="4.109375" bestFit="1" customWidth="1"/>
    <col min="25" max="25" width="9.21875" customWidth="1"/>
    <col min="26" max="26" width="4.109375" bestFit="1" customWidth="1"/>
    <col min="27" max="27" width="6" bestFit="1" customWidth="1"/>
    <col min="28" max="28" width="4.33203125" bestFit="1" customWidth="1"/>
    <col min="29" max="29" width="4.44140625" bestFit="1" customWidth="1"/>
    <col min="30" max="30" width="4.33203125" bestFit="1" customWidth="1"/>
    <col min="31" max="31" width="6" bestFit="1" customWidth="1"/>
    <col min="32" max="32" width="4.109375" bestFit="1" customWidth="1"/>
    <col min="33" max="33" width="4.33203125" bestFit="1" customWidth="1"/>
    <col min="34" max="34" width="4.109375" bestFit="1" customWidth="1"/>
    <col min="39" max="39" width="11.5546875" customWidth="1"/>
  </cols>
  <sheetData>
    <row r="1" spans="1:51" ht="54" customHeight="1" x14ac:dyDescent="0.25">
      <c r="A1" s="38" t="s">
        <v>44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40"/>
      <c r="AI1" s="43" t="s">
        <v>9</v>
      </c>
      <c r="AJ1" s="44"/>
      <c r="AK1" s="44"/>
      <c r="AL1" s="45"/>
      <c r="AM1" s="46" t="s">
        <v>10</v>
      </c>
    </row>
    <row r="2" spans="1:51" ht="118.2" customHeight="1" x14ac:dyDescent="0.25">
      <c r="A2" s="41" t="s">
        <v>8</v>
      </c>
      <c r="B2" s="42"/>
      <c r="C2" s="35" t="s">
        <v>16</v>
      </c>
      <c r="D2" s="36"/>
      <c r="E2" s="36"/>
      <c r="F2" s="36"/>
      <c r="G2" s="36"/>
      <c r="H2" s="36"/>
      <c r="I2" s="36"/>
      <c r="J2" s="37"/>
      <c r="K2" s="35" t="s">
        <v>19</v>
      </c>
      <c r="L2" s="36"/>
      <c r="M2" s="36"/>
      <c r="N2" s="36"/>
      <c r="O2" s="36"/>
      <c r="P2" s="36"/>
      <c r="Q2" s="36"/>
      <c r="R2" s="37"/>
      <c r="S2" s="51" t="s">
        <v>18</v>
      </c>
      <c r="T2" s="36"/>
      <c r="U2" s="36"/>
      <c r="V2" s="36"/>
      <c r="W2" s="36"/>
      <c r="X2" s="36"/>
      <c r="Y2" s="36"/>
      <c r="Z2" s="37"/>
      <c r="AA2" s="35" t="s">
        <v>17</v>
      </c>
      <c r="AB2" s="36"/>
      <c r="AC2" s="36"/>
      <c r="AD2" s="36"/>
      <c r="AE2" s="36"/>
      <c r="AF2" s="36"/>
      <c r="AG2" s="36"/>
      <c r="AH2" s="37"/>
      <c r="AI2" s="49" t="s">
        <v>11</v>
      </c>
      <c r="AJ2" s="49" t="s">
        <v>12</v>
      </c>
      <c r="AK2" s="49" t="s">
        <v>13</v>
      </c>
      <c r="AL2" s="49" t="s">
        <v>14</v>
      </c>
      <c r="AM2" s="47"/>
      <c r="AN2" s="30" t="s">
        <v>45</v>
      </c>
      <c r="AO2" s="31"/>
      <c r="AP2" s="31"/>
      <c r="AQ2" s="32"/>
      <c r="AR2" s="30" t="s">
        <v>46</v>
      </c>
      <c r="AS2" s="31"/>
      <c r="AT2" s="31"/>
      <c r="AU2" s="32"/>
      <c r="AV2" s="33" t="s">
        <v>47</v>
      </c>
      <c r="AW2" s="34"/>
      <c r="AX2" s="33" t="s">
        <v>48</v>
      </c>
      <c r="AY2" s="34"/>
    </row>
    <row r="3" spans="1:51" ht="33.6" customHeight="1" x14ac:dyDescent="0.25">
      <c r="A3" s="1"/>
      <c r="B3" s="1" t="s">
        <v>15</v>
      </c>
      <c r="C3" s="3" t="s">
        <v>0</v>
      </c>
      <c r="D3" s="2" t="s">
        <v>1</v>
      </c>
      <c r="E3" s="3" t="s">
        <v>2</v>
      </c>
      <c r="F3" s="2" t="s">
        <v>3</v>
      </c>
      <c r="G3" s="3" t="s">
        <v>4</v>
      </c>
      <c r="H3" s="2" t="s">
        <v>5</v>
      </c>
      <c r="I3" s="4" t="s">
        <v>6</v>
      </c>
      <c r="J3" s="2" t="s">
        <v>7</v>
      </c>
      <c r="K3" s="3" t="s">
        <v>0</v>
      </c>
      <c r="L3" s="2" t="s">
        <v>1</v>
      </c>
      <c r="M3" s="3" t="s">
        <v>2</v>
      </c>
      <c r="N3" s="2" t="s">
        <v>3</v>
      </c>
      <c r="O3" s="3" t="s">
        <v>4</v>
      </c>
      <c r="P3" s="2" t="s">
        <v>5</v>
      </c>
      <c r="Q3" s="4" t="s">
        <v>6</v>
      </c>
      <c r="R3" s="2" t="s">
        <v>7</v>
      </c>
      <c r="S3" s="4" t="s">
        <v>0</v>
      </c>
      <c r="T3" s="5" t="s">
        <v>1</v>
      </c>
      <c r="U3" s="4" t="s">
        <v>2</v>
      </c>
      <c r="V3" s="5" t="s">
        <v>3</v>
      </c>
      <c r="W3" s="4" t="s">
        <v>4</v>
      </c>
      <c r="X3" s="5" t="s">
        <v>5</v>
      </c>
      <c r="Y3" s="4" t="s">
        <v>6</v>
      </c>
      <c r="Z3" s="5" t="s">
        <v>7</v>
      </c>
      <c r="AA3" s="4" t="s">
        <v>0</v>
      </c>
      <c r="AB3" s="5" t="s">
        <v>1</v>
      </c>
      <c r="AC3" s="4" t="s">
        <v>2</v>
      </c>
      <c r="AD3" s="5" t="s">
        <v>3</v>
      </c>
      <c r="AE3" s="4" t="s">
        <v>4</v>
      </c>
      <c r="AF3" s="5" t="s">
        <v>5</v>
      </c>
      <c r="AG3" s="4" t="s">
        <v>6</v>
      </c>
      <c r="AH3" s="5" t="s">
        <v>7</v>
      </c>
      <c r="AI3" s="50"/>
      <c r="AJ3" s="50"/>
      <c r="AK3" s="50"/>
      <c r="AL3" s="50"/>
      <c r="AM3" s="48"/>
      <c r="AN3" s="10" t="s">
        <v>49</v>
      </c>
      <c r="AO3" s="10" t="s">
        <v>50</v>
      </c>
      <c r="AP3" s="10" t="s">
        <v>51</v>
      </c>
      <c r="AQ3" s="11" t="s">
        <v>52</v>
      </c>
      <c r="AR3" s="10" t="s">
        <v>53</v>
      </c>
      <c r="AS3" s="10" t="s">
        <v>54</v>
      </c>
      <c r="AT3" s="10" t="s">
        <v>55</v>
      </c>
      <c r="AU3" s="11" t="s">
        <v>56</v>
      </c>
      <c r="AV3" s="10" t="s">
        <v>57</v>
      </c>
      <c r="AW3" s="11" t="s">
        <v>58</v>
      </c>
      <c r="AX3" s="10" t="s">
        <v>59</v>
      </c>
      <c r="AY3" s="10" t="s">
        <v>60</v>
      </c>
    </row>
    <row r="4" spans="1:51" ht="15" customHeight="1" x14ac:dyDescent="0.25">
      <c r="A4" s="6">
        <v>1</v>
      </c>
      <c r="B4" s="14" t="s">
        <v>20</v>
      </c>
      <c r="C4" s="15">
        <v>55</v>
      </c>
      <c r="D4" s="16">
        <v>60</v>
      </c>
      <c r="E4" s="15">
        <v>64</v>
      </c>
      <c r="F4" s="16">
        <v>80</v>
      </c>
      <c r="G4" s="15">
        <v>80.833299999999994</v>
      </c>
      <c r="H4" s="16"/>
      <c r="I4" s="15">
        <v>91.42</v>
      </c>
      <c r="J4" s="16"/>
      <c r="K4" s="15">
        <v>70</v>
      </c>
      <c r="L4" s="16"/>
      <c r="M4" s="15">
        <v>64</v>
      </c>
      <c r="N4" s="16">
        <v>64</v>
      </c>
      <c r="O4" s="15">
        <v>73.333249999999992</v>
      </c>
      <c r="P4" s="16"/>
      <c r="Q4" s="15">
        <v>42</v>
      </c>
      <c r="R4" s="16">
        <v>71</v>
      </c>
      <c r="S4" s="15">
        <f>K4+1</f>
        <v>71</v>
      </c>
      <c r="T4" s="16"/>
      <c r="U4" s="15">
        <v>70</v>
      </c>
      <c r="V4" s="16"/>
      <c r="W4" s="15">
        <f t="shared" ref="W4:W24" si="0">O4+1</f>
        <v>74.333249999999992</v>
      </c>
      <c r="X4" s="16"/>
      <c r="Y4" s="15">
        <v>71</v>
      </c>
      <c r="Z4" s="16"/>
      <c r="AA4" s="15">
        <f>K4+3</f>
        <v>73</v>
      </c>
      <c r="AB4" s="16"/>
      <c r="AC4" s="15">
        <v>71</v>
      </c>
      <c r="AD4" s="16"/>
      <c r="AE4" s="15">
        <f>G4+1</f>
        <v>81.833299999999994</v>
      </c>
      <c r="AF4" s="16"/>
      <c r="AG4" s="15">
        <v>71</v>
      </c>
      <c r="AH4" s="16"/>
      <c r="AI4" s="9">
        <f t="shared" ref="AI4" si="1">IF(AND(C4&lt;&gt;"",E4&lt;&gt;"",G4&lt;&gt;"",I4&lt;&gt;"",I4&gt;=70),ROUND(AVERAGE(IF(C4&gt;=70,C4,D4),IF(E4&gt;=70,E4,F4),IF(G4&gt;=70,G4,H4),IF(I4&gt;=70,I4,J4)),1),IF(AND(C4&lt;&gt;"",E4&lt;&gt;"",G4&lt;&gt;"",I4&lt;&gt;"",J4&lt;&gt;""),ROUND(AVERAGE(IF(C4&gt;=70,C4,D4),IF(E4&gt;=70,E4,F4),IF(G4&gt;=70,G4,H4),IF(I4&gt;=70,I4,J4)),1),""))</f>
        <v>78.099999999999994</v>
      </c>
      <c r="AJ4" s="7">
        <f t="shared" ref="AJ4" si="2">IF(AND(K4&lt;&gt;"",M4&lt;&gt;"",O4&lt;&gt;"",Q4&lt;&gt;"",Q4&gt;=70),ROUND(AVERAGE(IF(K4&gt;=70,K4,L4),IF(M4&gt;=70,M4,N4),IF(O4&gt;=70,O4,P4),IF(Q4&gt;=70,Q4,R4)),1),IF(AND(K4&lt;&gt;"",M4&lt;&gt;"",O4&lt;&gt;"",Q4&lt;&gt;"",R4&lt;&gt;""),ROUND(AVERAGE(IF(K4&gt;=70,K4,L4),IF(M4&gt;=70,M4,N4),IF(O4&gt;=70,O4,P4),IF(Q4&gt;=70,Q4,R4)),1),""))</f>
        <v>69.599999999999994</v>
      </c>
      <c r="AK4" s="7">
        <f t="shared" ref="AK4" si="3">IF(AND(S4&lt;&gt;"",U4&lt;&gt;"",W4&lt;&gt;"",Y4&gt;=70),ROUND(AVERAGE(IF(S4&gt;=70,S4,T4),IF(U4&gt;=70,U4,V4),IF(W4&gt;=70,W4,X4),IF(Y4&gt;=70,Y4,Z4)),1),IF(AND(S4&lt;&gt;"",U4&lt;&gt;"",W4&lt;&gt;"",Y4&lt;&gt;"",Z4&lt;&gt;""),ROUND(AVERAGE(IF(S4&gt;=70,S4,T4),IF(U4&gt;=70,U4,V4),IF(AND(W4&lt;&gt;"",W4&gt;=70),W4,X4),IF(Y4&gt;=70,Y4,Z4)),1),""))</f>
        <v>71.599999999999994</v>
      </c>
      <c r="AL4" s="7">
        <f t="shared" ref="AL4" si="4">IF(AND(AA4&lt;&gt;"",AC4&lt;&gt;"",AE4&lt;&gt;"",AG4&lt;&gt;"",AG4&gt;=70),ROUND(AVERAGE(IF(AA4&gt;=70,AA4,AB4),IF(AC4&gt;=70,AC4,AD4),IF(AE4&gt;=70,AE4,AF4),IF(AG4&gt;=70,AG4,AH4)),1),IF(AND(AA4&lt;&gt;"",AC4&lt;&gt;"",AE4&lt;&gt;"",AG4&lt;&gt;"",AH4&lt;&gt;""),ROUND(AVERAGE(IF(AA4&gt;=70,AA4,AB4),IF(AC4&gt;=70,AC4,AD4),IF(AE4&gt;=70,AE4,AF4),IF(AG4&gt;=70,AG4,AH4)),1),""))</f>
        <v>74.2</v>
      </c>
      <c r="AM4" s="8">
        <f>IF(AND(AI4&lt;&gt;"",AJ4&lt;&gt;"",AK4&lt;&gt;"",AL4&lt;&gt;""),ROUND(AVERAGE(AI4:AL4),0),"")</f>
        <v>73</v>
      </c>
      <c r="AN4" s="7" t="str">
        <f>IF(AND(AM4&lt;70,AM4&lt;&gt;""),ROUND(IF(AM4&lt;70,AM4*0.5,""),1),"")</f>
        <v/>
      </c>
      <c r="AO4" s="12"/>
      <c r="AP4" s="7" t="str">
        <f t="shared" ref="AP4:AP7" si="5">IF(AND(AN4&lt;&gt;"",AO4&lt;&gt;""),ROUND(AO4*0.5,1),"")</f>
        <v/>
      </c>
      <c r="AQ4" s="11" t="str">
        <f>IF(AND(AN4&lt;&gt;"",AP4&lt;&gt;""),ROUND(AN4+AP4,0),"")</f>
        <v/>
      </c>
      <c r="AR4" s="7" t="str">
        <f>IF(AND(AQ4&lt;70,AQ4&lt;&gt;""),ROUND(IF(AQ4&lt;70,AM4*0.3,""),1),"")</f>
        <v/>
      </c>
      <c r="AS4" s="12"/>
      <c r="AT4" s="7" t="str">
        <f>IF(AND(AR4&lt;&gt;"",AS4&lt;&gt;""),ROUND(AS4*0.7,1),"")</f>
        <v/>
      </c>
      <c r="AU4" s="11" t="str">
        <f>IF(AND(AR4&lt;&gt;"",AT4&lt;&gt;""),ROUND(AR4+AT4,0),"")</f>
        <v/>
      </c>
      <c r="AV4" s="7" t="str">
        <f>IF(AND(AU4&lt;70,AU4&lt;&gt;""),AM4,"")</f>
        <v/>
      </c>
      <c r="AW4" s="13"/>
      <c r="AX4" s="7">
        <f t="shared" ref="AX4" si="6">IF(AND(AM4&lt;&gt;"",AM4&gt;=70),AM4,IF(AQ4&gt;=70,AQ4,IF(AU4&gt;=70,AU4,IF(AW4&gt;=70,AW4,""))))</f>
        <v>73</v>
      </c>
      <c r="AY4" s="7" t="str">
        <f>IF(AND(AV4&lt;&gt;"",AW4&lt;&gt;"",AW4&lt;70),AW4,"")</f>
        <v/>
      </c>
    </row>
    <row r="5" spans="1:51" ht="15" customHeight="1" x14ac:dyDescent="0.25">
      <c r="A5" s="6">
        <v>2</v>
      </c>
      <c r="B5" s="14"/>
      <c r="C5" s="15"/>
      <c r="D5" s="16"/>
      <c r="E5" s="15"/>
      <c r="F5" s="16"/>
      <c r="G5" s="15"/>
      <c r="H5" s="16"/>
      <c r="I5" s="15"/>
      <c r="J5" s="16"/>
      <c r="K5" s="15"/>
      <c r="L5" s="16"/>
      <c r="M5" s="15"/>
      <c r="N5" s="16"/>
      <c r="O5" s="15"/>
      <c r="P5" s="16"/>
      <c r="Q5" s="15"/>
      <c r="R5" s="16"/>
      <c r="S5" s="15"/>
      <c r="T5" s="16"/>
      <c r="U5" s="15"/>
      <c r="V5" s="16"/>
      <c r="W5" s="15"/>
      <c r="X5" s="16"/>
      <c r="Y5" s="15"/>
      <c r="Z5" s="16"/>
      <c r="AA5" s="15"/>
      <c r="AB5" s="16"/>
      <c r="AC5" s="15"/>
      <c r="AD5" s="16"/>
      <c r="AE5" s="15"/>
      <c r="AF5" s="16"/>
      <c r="AG5" s="15"/>
      <c r="AH5" s="16"/>
      <c r="AI5" s="9" t="str">
        <f t="shared" ref="AI5:AI43" si="7">IF(AND(C5&lt;&gt;"",E5&lt;&gt;"",G5&lt;&gt;"",I5&lt;&gt;"",I5&gt;=70),ROUND(AVERAGE(IF(C5&gt;=70,C5,D5),IF(E5&gt;=70,E5,F5),IF(G5&gt;=70,G5,H5),IF(I5&gt;=70,I5,J5)),1),IF(AND(C5&lt;&gt;"",E5&lt;&gt;"",G5&lt;&gt;"",I5&lt;&gt;"",J5&lt;&gt;""),ROUND(AVERAGE(IF(C5&gt;=70,C5,D5),IF(E5&gt;=70,E5,F5),IF(G5&gt;=70,G5,H5),IF(I5&gt;=70,I5,J5)),1),""))</f>
        <v/>
      </c>
      <c r="AJ5" s="7" t="str">
        <f t="shared" ref="AJ5:AJ43" si="8">IF(AND(K5&lt;&gt;"",M5&lt;&gt;"",O5&lt;&gt;"",Q5&lt;&gt;"",Q5&gt;=70),ROUND(AVERAGE(IF(K5&gt;=70,K5,L5),IF(M5&gt;=70,M5,N5),IF(O5&gt;=70,O5,P5),IF(Q5&gt;=70,Q5,R5)),1),IF(AND(K5&lt;&gt;"",M5&lt;&gt;"",O5&lt;&gt;"",Q5&lt;&gt;"",R5&lt;&gt;""),ROUND(AVERAGE(IF(K5&gt;=70,K5,L5),IF(M5&gt;=70,M5,N5),IF(O5&gt;=70,O5,P5),IF(Q5&gt;=70,Q5,R5)),1),""))</f>
        <v/>
      </c>
      <c r="AK5" s="7" t="str">
        <f t="shared" ref="AK5:AK43" si="9">IF(AND(S5&lt;&gt;"",U5&lt;&gt;"",W5&lt;&gt;"",Y5&gt;=70),ROUND(AVERAGE(IF(S5&gt;=70,S5,T5),IF(U5&gt;=70,U5,V5),IF(W5&gt;=70,W5,X5),IF(Y5&gt;=70,Y5,Z5)),1),IF(AND(S5&lt;&gt;"",U5&lt;&gt;"",W5&lt;&gt;"",Y5&lt;&gt;"",Z5&lt;&gt;""),ROUND(AVERAGE(IF(S5&gt;=70,S5,T5),IF(U5&gt;=70,U5,V5),IF(AND(W5&lt;&gt;"",W5&gt;=70),W5,X5),IF(Y5&gt;=70,Y5,Z5)),1),""))</f>
        <v/>
      </c>
      <c r="AL5" s="7" t="str">
        <f t="shared" ref="AL5:AL43" si="10">IF(AND(AA5&lt;&gt;"",AC5&lt;&gt;"",AE5&lt;&gt;"",AG5&lt;&gt;"",AG5&gt;=70),ROUND(AVERAGE(IF(AA5&gt;=70,AA5,AB5),IF(AC5&gt;=70,AC5,AD5),IF(AE5&gt;=70,AE5,AF5),IF(AG5&gt;=70,AG5,AH5)),1),IF(AND(AA5&lt;&gt;"",AC5&lt;&gt;"",AE5&lt;&gt;"",AG5&lt;&gt;"",AH5&lt;&gt;""),ROUND(AVERAGE(IF(AA5&gt;=70,AA5,AB5),IF(AC5&gt;=70,AC5,AD5),IF(AE5&gt;=70,AE5,AF5),IF(AG5&gt;=70,AG5,AH5)),1),""))</f>
        <v/>
      </c>
      <c r="AM5" s="8" t="str">
        <f t="shared" ref="AM5:AM43" si="11">IF(AND(AI5&lt;&gt;"",AJ5&lt;&gt;"",AK5&lt;&gt;"",AL5&lt;&gt;""),ROUND(AVERAGE(AI5:AL5),0),"")</f>
        <v/>
      </c>
      <c r="AN5" s="7" t="str">
        <f t="shared" ref="AN5:AN43" si="12">IF(AND(AM5&lt;70,AM5&lt;&gt;""),ROUND(IF(AM5&lt;70,AM5*0.5,""),1),"")</f>
        <v/>
      </c>
      <c r="AO5" s="12"/>
      <c r="AP5" s="7" t="str">
        <f t="shared" si="5"/>
        <v/>
      </c>
      <c r="AQ5" s="11" t="str">
        <f t="shared" ref="AQ5:AQ43" si="13">IF(AND(AN5&lt;&gt;"",AP5&lt;&gt;""),ROUND(AN5+AP5,0),"")</f>
        <v/>
      </c>
      <c r="AR5" s="7" t="str">
        <f t="shared" ref="AR5:AR43" si="14">IF(AND(AQ5&lt;70,AQ5&lt;&gt;""),ROUND(IF(AQ5&lt;70,AM5*0.3,""),1),"")</f>
        <v/>
      </c>
      <c r="AS5" s="12"/>
      <c r="AT5" s="7" t="str">
        <f t="shared" ref="AT5:AT43" si="15">IF(AND(AR5&lt;&gt;"",AS5&lt;&gt;""),ROUND(AS5*0.7,1),"")</f>
        <v/>
      </c>
      <c r="AU5" s="11" t="str">
        <f t="shared" ref="AU5:AU43" si="16">IF(AND(AR5&lt;&gt;"",AT5&lt;&gt;""),ROUND(AR5+AT5,0),"")</f>
        <v/>
      </c>
      <c r="AV5" s="7" t="str">
        <f t="shared" ref="AV5:AV43" si="17">IF(AND(AU5&lt;70,AU5&lt;&gt;""),AM5,"")</f>
        <v/>
      </c>
      <c r="AW5" s="13"/>
      <c r="AX5" s="7" t="str">
        <f t="shared" ref="AX5:AX43" si="18">IF(AND(AM5&lt;&gt;"",AM5&gt;=70),AM5,IF(AQ5&gt;=70,AQ5,IF(AU5&gt;=70,AU5,IF(AW5&gt;=70,AW5,""))))</f>
        <v/>
      </c>
      <c r="AY5" s="7" t="str">
        <f t="shared" ref="AY5:AY43" si="19">IF(AND(AV5&lt;&gt;"",AW5&lt;&gt;"",AW5&lt;70),AW5,"")</f>
        <v/>
      </c>
    </row>
    <row r="6" spans="1:51" ht="15" customHeight="1" x14ac:dyDescent="0.25">
      <c r="A6" s="6">
        <v>3</v>
      </c>
      <c r="B6" s="14" t="s">
        <v>22</v>
      </c>
      <c r="C6" s="15">
        <v>95</v>
      </c>
      <c r="D6" s="16"/>
      <c r="E6" s="15">
        <v>85</v>
      </c>
      <c r="F6" s="16"/>
      <c r="G6" s="15">
        <v>96.666600000000003</v>
      </c>
      <c r="H6" s="16"/>
      <c r="I6" s="15">
        <v>89.28</v>
      </c>
      <c r="J6" s="16"/>
      <c r="K6" s="15">
        <v>95</v>
      </c>
      <c r="L6" s="16"/>
      <c r="M6" s="15">
        <v>88</v>
      </c>
      <c r="N6" s="16"/>
      <c r="O6" s="15">
        <v>88.333200000000005</v>
      </c>
      <c r="P6" s="16"/>
      <c r="Q6" s="15">
        <v>83</v>
      </c>
      <c r="R6" s="16"/>
      <c r="S6" s="15">
        <f>K6+3</f>
        <v>98</v>
      </c>
      <c r="T6" s="16"/>
      <c r="U6" s="15">
        <f t="shared" ref="U6" si="20">M6+3</f>
        <v>91</v>
      </c>
      <c r="V6" s="16"/>
      <c r="W6" s="15">
        <f t="shared" ref="W6:W22" si="21">O6+3</f>
        <v>91.333200000000005</v>
      </c>
      <c r="X6" s="16"/>
      <c r="Y6" s="15">
        <f>Q6+3</f>
        <v>86</v>
      </c>
      <c r="Z6" s="16"/>
      <c r="AA6" s="15">
        <f>K6+1</f>
        <v>96</v>
      </c>
      <c r="AB6" s="16"/>
      <c r="AC6" s="15">
        <f>E6+1</f>
        <v>86</v>
      </c>
      <c r="AD6" s="16"/>
      <c r="AE6" s="15">
        <v>95</v>
      </c>
      <c r="AF6" s="16"/>
      <c r="AG6" s="15">
        <f t="shared" ref="AG6" si="22">Q6+2</f>
        <v>85</v>
      </c>
      <c r="AH6" s="16"/>
      <c r="AI6" s="9">
        <f t="shared" si="7"/>
        <v>91.5</v>
      </c>
      <c r="AJ6" s="7">
        <f t="shared" si="8"/>
        <v>88.6</v>
      </c>
      <c r="AK6" s="7">
        <f t="shared" si="9"/>
        <v>91.6</v>
      </c>
      <c r="AL6" s="7">
        <f t="shared" si="10"/>
        <v>90.5</v>
      </c>
      <c r="AM6" s="8">
        <f t="shared" si="11"/>
        <v>91</v>
      </c>
      <c r="AN6" s="7" t="str">
        <f t="shared" si="12"/>
        <v/>
      </c>
      <c r="AO6" s="12"/>
      <c r="AP6" s="7" t="str">
        <f t="shared" si="5"/>
        <v/>
      </c>
      <c r="AQ6" s="11" t="str">
        <f t="shared" si="13"/>
        <v/>
      </c>
      <c r="AR6" s="7" t="str">
        <f t="shared" si="14"/>
        <v/>
      </c>
      <c r="AS6" s="12"/>
      <c r="AT6" s="7" t="str">
        <f t="shared" si="15"/>
        <v/>
      </c>
      <c r="AU6" s="11" t="str">
        <f t="shared" si="16"/>
        <v/>
      </c>
      <c r="AV6" s="7" t="str">
        <f t="shared" si="17"/>
        <v/>
      </c>
      <c r="AW6" s="13"/>
      <c r="AX6" s="7">
        <f t="shared" si="18"/>
        <v>91</v>
      </c>
      <c r="AY6" s="7" t="str">
        <f t="shared" si="19"/>
        <v/>
      </c>
    </row>
    <row r="7" spans="1:51" ht="15" customHeight="1" x14ac:dyDescent="0.25">
      <c r="A7" s="6">
        <v>4</v>
      </c>
      <c r="B7" s="14" t="s">
        <v>23</v>
      </c>
      <c r="C7" s="15">
        <v>79</v>
      </c>
      <c r="D7" s="16"/>
      <c r="E7" s="15">
        <v>64</v>
      </c>
      <c r="F7" s="16">
        <v>64</v>
      </c>
      <c r="G7" s="15">
        <v>72.5</v>
      </c>
      <c r="H7" s="16"/>
      <c r="I7" s="15">
        <v>82.14</v>
      </c>
      <c r="J7" s="16"/>
      <c r="K7" s="15">
        <v>87</v>
      </c>
      <c r="L7" s="16"/>
      <c r="M7" s="15">
        <v>60</v>
      </c>
      <c r="N7" s="16">
        <v>80</v>
      </c>
      <c r="O7" s="15">
        <v>66.333259999999996</v>
      </c>
      <c r="P7" s="16">
        <v>66</v>
      </c>
      <c r="Q7" s="15">
        <v>74</v>
      </c>
      <c r="R7" s="16"/>
      <c r="S7" s="15">
        <f t="shared" ref="S7" si="23">K7+1</f>
        <v>88</v>
      </c>
      <c r="T7" s="16"/>
      <c r="U7" s="15">
        <v>71</v>
      </c>
      <c r="V7" s="16"/>
      <c r="W7" s="15">
        <v>70</v>
      </c>
      <c r="X7" s="16"/>
      <c r="Y7" s="15">
        <f>Q7+2</f>
        <v>76</v>
      </c>
      <c r="Z7" s="16"/>
      <c r="AA7" s="15">
        <f t="shared" ref="AA7" si="24">K7+3</f>
        <v>90</v>
      </c>
      <c r="AB7" s="16"/>
      <c r="AC7" s="15">
        <v>70</v>
      </c>
      <c r="AD7" s="16"/>
      <c r="AE7" s="15">
        <f t="shared" ref="AE7:AE8" si="25">G7+1</f>
        <v>73.5</v>
      </c>
      <c r="AF7" s="16"/>
      <c r="AG7" s="15">
        <f t="shared" ref="AG7" si="26">Q7+1</f>
        <v>75</v>
      </c>
      <c r="AH7" s="16"/>
      <c r="AI7" s="9">
        <f t="shared" si="7"/>
        <v>74.400000000000006</v>
      </c>
      <c r="AJ7" s="7">
        <f t="shared" si="8"/>
        <v>76.8</v>
      </c>
      <c r="AK7" s="7">
        <f t="shared" si="9"/>
        <v>76.3</v>
      </c>
      <c r="AL7" s="7">
        <f t="shared" si="10"/>
        <v>77.099999999999994</v>
      </c>
      <c r="AM7" s="8">
        <f t="shared" si="11"/>
        <v>76</v>
      </c>
      <c r="AN7" s="7" t="str">
        <f t="shared" si="12"/>
        <v/>
      </c>
      <c r="AO7" s="12"/>
      <c r="AP7" s="7" t="str">
        <f t="shared" si="5"/>
        <v/>
      </c>
      <c r="AQ7" s="11" t="str">
        <f t="shared" si="13"/>
        <v/>
      </c>
      <c r="AR7" s="7" t="str">
        <f t="shared" si="14"/>
        <v/>
      </c>
      <c r="AS7" s="12"/>
      <c r="AT7" s="7" t="str">
        <f>IF(AND(AR7&lt;&gt;"",AS7&lt;&gt;""),ROUND(AS7*0.7,1),"")</f>
        <v/>
      </c>
      <c r="AU7" s="11" t="str">
        <f t="shared" si="16"/>
        <v/>
      </c>
      <c r="AV7" s="7" t="str">
        <f t="shared" si="17"/>
        <v/>
      </c>
      <c r="AW7" s="13"/>
      <c r="AX7" s="7">
        <f t="shared" si="18"/>
        <v>76</v>
      </c>
      <c r="AY7" s="7" t="str">
        <f t="shared" si="19"/>
        <v/>
      </c>
    </row>
    <row r="8" spans="1:51" ht="15" customHeight="1" x14ac:dyDescent="0.25">
      <c r="A8" s="6">
        <v>5</v>
      </c>
      <c r="B8" s="14" t="s">
        <v>24</v>
      </c>
      <c r="C8" s="15">
        <v>63</v>
      </c>
      <c r="D8" s="16">
        <v>70</v>
      </c>
      <c r="E8" s="15">
        <v>70</v>
      </c>
      <c r="F8" s="16"/>
      <c r="G8" s="15">
        <v>75</v>
      </c>
      <c r="H8" s="16"/>
      <c r="I8" s="15">
        <v>73.569999999999993</v>
      </c>
      <c r="J8" s="16"/>
      <c r="K8" s="15">
        <v>70</v>
      </c>
      <c r="L8" s="16"/>
      <c r="M8" s="15">
        <v>78</v>
      </c>
      <c r="N8" s="16"/>
      <c r="O8" s="15">
        <v>57.333330000000004</v>
      </c>
      <c r="P8" s="16">
        <v>57</v>
      </c>
      <c r="Q8" s="15">
        <v>47</v>
      </c>
      <c r="R8" s="16">
        <v>73</v>
      </c>
      <c r="S8" s="15">
        <f t="shared" ref="S8" si="27">K8+2</f>
        <v>72</v>
      </c>
      <c r="T8" s="16"/>
      <c r="U8" s="15">
        <f t="shared" ref="U8" si="28">M8+2</f>
        <v>80</v>
      </c>
      <c r="V8" s="16"/>
      <c r="W8" s="15">
        <v>75</v>
      </c>
      <c r="X8" s="16"/>
      <c r="Y8" s="15">
        <v>70</v>
      </c>
      <c r="Z8" s="16"/>
      <c r="AA8" s="15">
        <f t="shared" ref="AA8" si="29">K8+2</f>
        <v>72</v>
      </c>
      <c r="AB8" s="16"/>
      <c r="AC8" s="15">
        <f>E8+2</f>
        <v>72</v>
      </c>
      <c r="AD8" s="16"/>
      <c r="AE8" s="15">
        <f t="shared" si="25"/>
        <v>76</v>
      </c>
      <c r="AF8" s="16"/>
      <c r="AG8" s="15">
        <v>71</v>
      </c>
      <c r="AH8" s="16"/>
      <c r="AI8" s="9">
        <f t="shared" si="7"/>
        <v>72.099999999999994</v>
      </c>
      <c r="AJ8" s="7">
        <f t="shared" si="8"/>
        <v>69.5</v>
      </c>
      <c r="AK8" s="7">
        <f t="shared" si="9"/>
        <v>74.3</v>
      </c>
      <c r="AL8" s="7">
        <f t="shared" si="10"/>
        <v>72.8</v>
      </c>
      <c r="AM8" s="8">
        <f t="shared" si="11"/>
        <v>72</v>
      </c>
      <c r="AN8" s="7" t="str">
        <f t="shared" si="12"/>
        <v/>
      </c>
      <c r="AO8" s="12"/>
      <c r="AP8" s="7" t="str">
        <f>IF(AND(AN8&lt;&gt;"",AO8&lt;&gt;""),ROUND(AO8*0.5,1),"")</f>
        <v/>
      </c>
      <c r="AQ8" s="11" t="str">
        <f t="shared" si="13"/>
        <v/>
      </c>
      <c r="AR8" s="7" t="str">
        <f t="shared" si="14"/>
        <v/>
      </c>
      <c r="AS8" s="12"/>
      <c r="AT8" s="7" t="str">
        <f t="shared" si="15"/>
        <v/>
      </c>
      <c r="AU8" s="11" t="str">
        <f t="shared" si="16"/>
        <v/>
      </c>
      <c r="AV8" s="7" t="str">
        <f t="shared" si="17"/>
        <v/>
      </c>
      <c r="AW8" s="13"/>
      <c r="AX8" s="7">
        <f t="shared" si="18"/>
        <v>72</v>
      </c>
      <c r="AY8" s="7" t="str">
        <f t="shared" si="19"/>
        <v/>
      </c>
    </row>
    <row r="9" spans="1:51" ht="15" customHeight="1" x14ac:dyDescent="0.25">
      <c r="A9" s="6">
        <v>6</v>
      </c>
      <c r="B9" s="14" t="s">
        <v>25</v>
      </c>
      <c r="C9" s="15">
        <v>91</v>
      </c>
      <c r="D9" s="16"/>
      <c r="E9" s="15">
        <v>80</v>
      </c>
      <c r="F9" s="16"/>
      <c r="G9" s="15">
        <v>85</v>
      </c>
      <c r="H9" s="16"/>
      <c r="I9" s="15">
        <v>88</v>
      </c>
      <c r="J9" s="16"/>
      <c r="K9" s="15">
        <v>90</v>
      </c>
      <c r="L9" s="16"/>
      <c r="M9" s="15">
        <v>81</v>
      </c>
      <c r="N9" s="16"/>
      <c r="O9" s="15">
        <v>60</v>
      </c>
      <c r="P9" s="16">
        <v>60</v>
      </c>
      <c r="Q9" s="15">
        <v>70</v>
      </c>
      <c r="R9" s="16"/>
      <c r="S9" s="15">
        <f t="shared" ref="S9" si="30">K9+3</f>
        <v>93</v>
      </c>
      <c r="T9" s="16"/>
      <c r="U9" s="15">
        <f t="shared" ref="U9:U27" si="31">M9+3</f>
        <v>84</v>
      </c>
      <c r="V9" s="16"/>
      <c r="W9" s="15">
        <v>80</v>
      </c>
      <c r="X9" s="16"/>
      <c r="Y9" s="15">
        <f t="shared" ref="Y9" si="32">Q9+1</f>
        <v>71</v>
      </c>
      <c r="Z9" s="16"/>
      <c r="AA9" s="15">
        <f t="shared" ref="AA9" si="33">K9+1</f>
        <v>91</v>
      </c>
      <c r="AB9" s="16"/>
      <c r="AC9" s="15">
        <f t="shared" ref="AC9" si="34">E9+1</f>
        <v>81</v>
      </c>
      <c r="AD9" s="16"/>
      <c r="AE9" s="15">
        <f t="shared" ref="AE9:AE13" si="35">G9+3</f>
        <v>88</v>
      </c>
      <c r="AF9" s="16"/>
      <c r="AG9" s="15">
        <f t="shared" ref="AG9" si="36">Q9+2</f>
        <v>72</v>
      </c>
      <c r="AH9" s="16"/>
      <c r="AI9" s="9">
        <f t="shared" si="7"/>
        <v>86</v>
      </c>
      <c r="AJ9" s="7">
        <f t="shared" si="8"/>
        <v>75.3</v>
      </c>
      <c r="AK9" s="7">
        <f t="shared" si="9"/>
        <v>82</v>
      </c>
      <c r="AL9" s="7">
        <f t="shared" si="10"/>
        <v>83</v>
      </c>
      <c r="AM9" s="8">
        <f t="shared" si="11"/>
        <v>82</v>
      </c>
      <c r="AN9" s="7" t="str">
        <f t="shared" si="12"/>
        <v/>
      </c>
      <c r="AO9" s="12"/>
      <c r="AP9" s="7" t="str">
        <f t="shared" ref="AP9:AP43" si="37">IF(AND(AN9&lt;&gt;"",AO9&lt;&gt;""),ROUND(AO9*0.5,1),"")</f>
        <v/>
      </c>
      <c r="AQ9" s="11" t="str">
        <f t="shared" si="13"/>
        <v/>
      </c>
      <c r="AR9" s="7" t="str">
        <f t="shared" si="14"/>
        <v/>
      </c>
      <c r="AS9" s="12"/>
      <c r="AT9" s="7" t="str">
        <f t="shared" si="15"/>
        <v/>
      </c>
      <c r="AU9" s="11" t="str">
        <f t="shared" si="16"/>
        <v/>
      </c>
      <c r="AV9" s="7" t="str">
        <f t="shared" si="17"/>
        <v/>
      </c>
      <c r="AW9" s="13"/>
      <c r="AX9" s="7">
        <f t="shared" si="18"/>
        <v>82</v>
      </c>
      <c r="AY9" s="7" t="str">
        <f t="shared" si="19"/>
        <v/>
      </c>
    </row>
    <row r="10" spans="1:51" ht="15" customHeight="1" x14ac:dyDescent="0.25">
      <c r="A10" s="6">
        <v>7</v>
      </c>
      <c r="B10" s="14" t="s">
        <v>26</v>
      </c>
      <c r="C10" s="15">
        <v>71</v>
      </c>
      <c r="D10" s="16"/>
      <c r="E10" s="15">
        <v>61</v>
      </c>
      <c r="F10" s="16">
        <v>85</v>
      </c>
      <c r="G10" s="15">
        <v>86.666600000000003</v>
      </c>
      <c r="H10" s="16"/>
      <c r="I10" s="15">
        <v>82.14</v>
      </c>
      <c r="J10" s="16"/>
      <c r="K10" s="15">
        <v>70</v>
      </c>
      <c r="L10" s="16"/>
      <c r="M10" s="15">
        <v>64</v>
      </c>
      <c r="N10" s="16">
        <v>64</v>
      </c>
      <c r="O10" s="15">
        <v>66</v>
      </c>
      <c r="P10" s="16">
        <v>70</v>
      </c>
      <c r="Q10" s="15">
        <v>43</v>
      </c>
      <c r="R10" s="16">
        <v>72</v>
      </c>
      <c r="S10" s="15">
        <f t="shared" ref="S10" si="38">K10+1</f>
        <v>71</v>
      </c>
      <c r="T10" s="16"/>
      <c r="U10" s="15">
        <v>71</v>
      </c>
      <c r="V10" s="16"/>
      <c r="W10" s="15">
        <v>70</v>
      </c>
      <c r="X10" s="16"/>
      <c r="Y10" s="15">
        <v>72</v>
      </c>
      <c r="Z10" s="16"/>
      <c r="AA10" s="15">
        <f t="shared" ref="AA10" si="39">K10+3</f>
        <v>73</v>
      </c>
      <c r="AB10" s="16"/>
      <c r="AC10" s="15">
        <v>70</v>
      </c>
      <c r="AD10" s="16"/>
      <c r="AE10" s="15">
        <v>73</v>
      </c>
      <c r="AF10" s="16"/>
      <c r="AG10" s="15">
        <v>70</v>
      </c>
      <c r="AH10" s="16"/>
      <c r="AI10" s="9">
        <f t="shared" si="7"/>
        <v>81.2</v>
      </c>
      <c r="AJ10" s="7">
        <f t="shared" si="8"/>
        <v>69</v>
      </c>
      <c r="AK10" s="7">
        <f t="shared" si="9"/>
        <v>71</v>
      </c>
      <c r="AL10" s="7">
        <f t="shared" si="10"/>
        <v>71.5</v>
      </c>
      <c r="AM10" s="8">
        <f t="shared" si="11"/>
        <v>73</v>
      </c>
      <c r="AN10" s="7" t="str">
        <f t="shared" si="12"/>
        <v/>
      </c>
      <c r="AO10" s="12"/>
      <c r="AP10" s="7" t="str">
        <f t="shared" si="37"/>
        <v/>
      </c>
      <c r="AQ10" s="11" t="str">
        <f t="shared" si="13"/>
        <v/>
      </c>
      <c r="AR10" s="7" t="str">
        <f t="shared" si="14"/>
        <v/>
      </c>
      <c r="AS10" s="12"/>
      <c r="AT10" s="7" t="str">
        <f t="shared" si="15"/>
        <v/>
      </c>
      <c r="AU10" s="11" t="str">
        <f t="shared" si="16"/>
        <v/>
      </c>
      <c r="AV10" s="7" t="str">
        <f t="shared" si="17"/>
        <v/>
      </c>
      <c r="AW10" s="13"/>
      <c r="AX10" s="7">
        <f t="shared" si="18"/>
        <v>73</v>
      </c>
      <c r="AY10" s="7" t="str">
        <f t="shared" si="19"/>
        <v/>
      </c>
    </row>
    <row r="11" spans="1:51" ht="15" customHeight="1" x14ac:dyDescent="0.25">
      <c r="A11" s="6">
        <v>8</v>
      </c>
      <c r="B11" s="14" t="s">
        <v>27</v>
      </c>
      <c r="C11" s="15">
        <v>95</v>
      </c>
      <c r="D11" s="16"/>
      <c r="E11" s="15">
        <v>88</v>
      </c>
      <c r="F11" s="16"/>
      <c r="G11" s="15">
        <v>88.333300000000008</v>
      </c>
      <c r="H11" s="16"/>
      <c r="I11" s="15">
        <v>89.28</v>
      </c>
      <c r="J11" s="16"/>
      <c r="K11" s="15">
        <v>90</v>
      </c>
      <c r="L11" s="16"/>
      <c r="M11" s="15">
        <v>85</v>
      </c>
      <c r="N11" s="16"/>
      <c r="O11" s="15">
        <v>80</v>
      </c>
      <c r="P11" s="16"/>
      <c r="Q11" s="15">
        <v>70</v>
      </c>
      <c r="R11" s="16"/>
      <c r="S11" s="15">
        <f t="shared" ref="S11" si="40">K11+2</f>
        <v>92</v>
      </c>
      <c r="T11" s="16"/>
      <c r="U11" s="15">
        <f t="shared" ref="U11:U23" si="41">M11+2</f>
        <v>87</v>
      </c>
      <c r="V11" s="16"/>
      <c r="W11" s="15">
        <f t="shared" si="0"/>
        <v>81</v>
      </c>
      <c r="X11" s="16"/>
      <c r="Y11" s="15">
        <f t="shared" ref="Y11:Y12" si="42">Q11+2</f>
        <v>72</v>
      </c>
      <c r="Z11" s="16"/>
      <c r="AA11" s="15">
        <f t="shared" ref="AA11" si="43">K11+2</f>
        <v>92</v>
      </c>
      <c r="AB11" s="16"/>
      <c r="AC11" s="15">
        <f t="shared" ref="AC11" si="44">E11+2</f>
        <v>90</v>
      </c>
      <c r="AD11" s="16"/>
      <c r="AE11" s="15">
        <f t="shared" ref="AE11:AE24" si="45">G11+1</f>
        <v>89.333300000000008</v>
      </c>
      <c r="AF11" s="16"/>
      <c r="AG11" s="15">
        <f t="shared" ref="AG11" si="46">Q11+1</f>
        <v>71</v>
      </c>
      <c r="AH11" s="16"/>
      <c r="AI11" s="9">
        <f t="shared" si="7"/>
        <v>90.2</v>
      </c>
      <c r="AJ11" s="7">
        <f t="shared" si="8"/>
        <v>81.3</v>
      </c>
      <c r="AK11" s="7">
        <f t="shared" si="9"/>
        <v>83</v>
      </c>
      <c r="AL11" s="7">
        <f t="shared" si="10"/>
        <v>85.6</v>
      </c>
      <c r="AM11" s="8">
        <f t="shared" si="11"/>
        <v>85</v>
      </c>
      <c r="AN11" s="7" t="str">
        <f t="shared" si="12"/>
        <v/>
      </c>
      <c r="AO11" s="12"/>
      <c r="AP11" s="7" t="str">
        <f t="shared" si="37"/>
        <v/>
      </c>
      <c r="AQ11" s="11" t="str">
        <f t="shared" si="13"/>
        <v/>
      </c>
      <c r="AR11" s="7" t="str">
        <f t="shared" si="14"/>
        <v/>
      </c>
      <c r="AS11" s="12"/>
      <c r="AT11" s="7" t="str">
        <f t="shared" si="15"/>
        <v/>
      </c>
      <c r="AU11" s="11" t="str">
        <f t="shared" si="16"/>
        <v/>
      </c>
      <c r="AV11" s="7" t="str">
        <f t="shared" si="17"/>
        <v/>
      </c>
      <c r="AW11" s="13"/>
      <c r="AX11" s="7">
        <f t="shared" si="18"/>
        <v>85</v>
      </c>
      <c r="AY11" s="7" t="str">
        <f t="shared" si="19"/>
        <v/>
      </c>
    </row>
    <row r="12" spans="1:51" ht="15" customHeight="1" x14ac:dyDescent="0.25">
      <c r="A12" s="6">
        <v>9</v>
      </c>
      <c r="B12" s="14" t="s">
        <v>28</v>
      </c>
      <c r="C12" s="15">
        <v>85</v>
      </c>
      <c r="D12" s="16"/>
      <c r="E12" s="15">
        <v>70</v>
      </c>
      <c r="F12" s="16"/>
      <c r="G12" s="15">
        <v>83.333300000000008</v>
      </c>
      <c r="H12" s="16"/>
      <c r="I12" s="15">
        <v>92.85</v>
      </c>
      <c r="J12" s="16"/>
      <c r="K12" s="15">
        <v>89</v>
      </c>
      <c r="L12" s="16"/>
      <c r="M12" s="15">
        <v>64</v>
      </c>
      <c r="N12" s="16">
        <v>84</v>
      </c>
      <c r="O12" s="15">
        <v>80.333240000000004</v>
      </c>
      <c r="P12" s="16"/>
      <c r="Q12" s="15">
        <v>80</v>
      </c>
      <c r="R12" s="16"/>
      <c r="S12" s="15">
        <f t="shared" ref="S12" si="47">K12+3</f>
        <v>92</v>
      </c>
      <c r="T12" s="16"/>
      <c r="U12" s="15">
        <v>70</v>
      </c>
      <c r="V12" s="16"/>
      <c r="W12" s="15">
        <f t="shared" si="0"/>
        <v>81.333240000000004</v>
      </c>
      <c r="X12" s="16"/>
      <c r="Y12" s="15">
        <f t="shared" si="42"/>
        <v>82</v>
      </c>
      <c r="Z12" s="16"/>
      <c r="AA12" s="15">
        <f t="shared" ref="AA12" si="48">K12+1</f>
        <v>90</v>
      </c>
      <c r="AB12" s="16"/>
      <c r="AC12" s="15">
        <f t="shared" ref="AC12" si="49">E12+1</f>
        <v>71</v>
      </c>
      <c r="AD12" s="16"/>
      <c r="AE12" s="15">
        <f t="shared" si="45"/>
        <v>84.333300000000008</v>
      </c>
      <c r="AF12" s="16"/>
      <c r="AG12" s="15">
        <f t="shared" ref="AG12" si="50">Q12+3</f>
        <v>83</v>
      </c>
      <c r="AH12" s="16"/>
      <c r="AI12" s="9">
        <f t="shared" si="7"/>
        <v>82.8</v>
      </c>
      <c r="AJ12" s="7">
        <f t="shared" si="8"/>
        <v>83.3</v>
      </c>
      <c r="AK12" s="7">
        <f t="shared" si="9"/>
        <v>81.3</v>
      </c>
      <c r="AL12" s="7">
        <f t="shared" si="10"/>
        <v>82.1</v>
      </c>
      <c r="AM12" s="8">
        <f t="shared" si="11"/>
        <v>82</v>
      </c>
      <c r="AN12" s="7" t="str">
        <f t="shared" si="12"/>
        <v/>
      </c>
      <c r="AO12" s="12"/>
      <c r="AP12" s="7" t="str">
        <f t="shared" si="37"/>
        <v/>
      </c>
      <c r="AQ12" s="11" t="str">
        <f t="shared" si="13"/>
        <v/>
      </c>
      <c r="AR12" s="7" t="str">
        <f t="shared" si="14"/>
        <v/>
      </c>
      <c r="AS12" s="12"/>
      <c r="AT12" s="7" t="str">
        <f t="shared" si="15"/>
        <v/>
      </c>
      <c r="AU12" s="11" t="str">
        <f t="shared" si="16"/>
        <v/>
      </c>
      <c r="AV12" s="7" t="str">
        <f t="shared" si="17"/>
        <v/>
      </c>
      <c r="AW12" s="13"/>
      <c r="AX12" s="7">
        <f t="shared" si="18"/>
        <v>82</v>
      </c>
      <c r="AY12" s="7" t="str">
        <f t="shared" si="19"/>
        <v/>
      </c>
    </row>
    <row r="13" spans="1:51" ht="15" customHeight="1" x14ac:dyDescent="0.25">
      <c r="A13" s="6">
        <v>10</v>
      </c>
      <c r="B13" s="14" t="s">
        <v>29</v>
      </c>
      <c r="C13" s="15">
        <v>91</v>
      </c>
      <c r="D13" s="16"/>
      <c r="E13" s="15">
        <v>80</v>
      </c>
      <c r="F13" s="16"/>
      <c r="G13" s="15">
        <v>70.833299999999994</v>
      </c>
      <c r="H13" s="16"/>
      <c r="I13" s="15">
        <v>73.569999999999993</v>
      </c>
      <c r="J13" s="16"/>
      <c r="K13" s="15">
        <v>82</v>
      </c>
      <c r="L13" s="16"/>
      <c r="M13" s="15">
        <v>72</v>
      </c>
      <c r="N13" s="16"/>
      <c r="O13" s="15">
        <v>64</v>
      </c>
      <c r="P13" s="16">
        <v>64</v>
      </c>
      <c r="Q13" s="15">
        <v>41</v>
      </c>
      <c r="R13" s="16">
        <v>70</v>
      </c>
      <c r="S13" s="15">
        <f t="shared" ref="S13" si="51">K13+1</f>
        <v>83</v>
      </c>
      <c r="T13" s="16"/>
      <c r="U13" s="15">
        <f t="shared" ref="U13:U28" si="52">M13+1</f>
        <v>73</v>
      </c>
      <c r="V13" s="16"/>
      <c r="W13" s="15">
        <v>75</v>
      </c>
      <c r="X13" s="16"/>
      <c r="Y13" s="15">
        <v>71</v>
      </c>
      <c r="Z13" s="16"/>
      <c r="AA13" s="15">
        <f t="shared" ref="AA13" si="53">K13+3</f>
        <v>85</v>
      </c>
      <c r="AB13" s="16"/>
      <c r="AC13" s="15">
        <f t="shared" ref="AC13" si="54">E13+3</f>
        <v>83</v>
      </c>
      <c r="AD13" s="16"/>
      <c r="AE13" s="15">
        <f t="shared" si="35"/>
        <v>73.833299999999994</v>
      </c>
      <c r="AF13" s="16"/>
      <c r="AG13" s="15">
        <v>70</v>
      </c>
      <c r="AH13" s="16"/>
      <c r="AI13" s="9">
        <f t="shared" si="7"/>
        <v>78.900000000000006</v>
      </c>
      <c r="AJ13" s="7">
        <f t="shared" si="8"/>
        <v>72</v>
      </c>
      <c r="AK13" s="7">
        <f t="shared" si="9"/>
        <v>75.5</v>
      </c>
      <c r="AL13" s="7">
        <f t="shared" si="10"/>
        <v>78</v>
      </c>
      <c r="AM13" s="8">
        <f t="shared" si="11"/>
        <v>76</v>
      </c>
      <c r="AN13" s="7" t="str">
        <f t="shared" si="12"/>
        <v/>
      </c>
      <c r="AO13" s="12"/>
      <c r="AP13" s="7" t="str">
        <f t="shared" si="37"/>
        <v/>
      </c>
      <c r="AQ13" s="11" t="str">
        <f t="shared" si="13"/>
        <v/>
      </c>
      <c r="AR13" s="7" t="str">
        <f t="shared" si="14"/>
        <v/>
      </c>
      <c r="AS13" s="12"/>
      <c r="AT13" s="7" t="str">
        <f t="shared" si="15"/>
        <v/>
      </c>
      <c r="AU13" s="11" t="str">
        <f t="shared" si="16"/>
        <v/>
      </c>
      <c r="AV13" s="7" t="str">
        <f t="shared" si="17"/>
        <v/>
      </c>
      <c r="AW13" s="13"/>
      <c r="AX13" s="7">
        <f t="shared" si="18"/>
        <v>76</v>
      </c>
      <c r="AY13" s="7" t="str">
        <f t="shared" si="19"/>
        <v/>
      </c>
    </row>
    <row r="14" spans="1:51" ht="15" customHeight="1" x14ac:dyDescent="0.25">
      <c r="A14" s="6">
        <v>11</v>
      </c>
      <c r="B14" s="14" t="s">
        <v>30</v>
      </c>
      <c r="C14" s="15">
        <v>80</v>
      </c>
      <c r="D14" s="16"/>
      <c r="E14" s="15">
        <v>76</v>
      </c>
      <c r="F14" s="16"/>
      <c r="G14" s="15">
        <v>92.499899999999997</v>
      </c>
      <c r="H14" s="16"/>
      <c r="I14" s="15">
        <v>96.42</v>
      </c>
      <c r="J14" s="16"/>
      <c r="K14" s="15">
        <v>85</v>
      </c>
      <c r="L14" s="16"/>
      <c r="M14" s="15">
        <v>73</v>
      </c>
      <c r="N14" s="16"/>
      <c r="O14" s="15">
        <v>77.99991</v>
      </c>
      <c r="P14" s="16"/>
      <c r="Q14" s="15">
        <v>77</v>
      </c>
      <c r="R14" s="16"/>
      <c r="S14" s="15">
        <f t="shared" ref="S14" si="55">K14+2</f>
        <v>87</v>
      </c>
      <c r="T14" s="16"/>
      <c r="U14" s="15">
        <f t="shared" si="41"/>
        <v>75</v>
      </c>
      <c r="V14" s="16"/>
      <c r="W14" s="15">
        <f t="shared" si="21"/>
        <v>80.99991</v>
      </c>
      <c r="X14" s="16"/>
      <c r="Y14" s="15">
        <f t="shared" ref="Y14" si="56">Q14+3</f>
        <v>80</v>
      </c>
      <c r="Z14" s="16"/>
      <c r="AA14" s="15">
        <f t="shared" ref="AA14" si="57">K14+2</f>
        <v>87</v>
      </c>
      <c r="AB14" s="16"/>
      <c r="AC14" s="15">
        <f t="shared" ref="AC14" si="58">E14+2</f>
        <v>78</v>
      </c>
      <c r="AD14" s="16"/>
      <c r="AE14" s="15">
        <v>89</v>
      </c>
      <c r="AF14" s="16"/>
      <c r="AG14" s="15">
        <f t="shared" ref="AG14" si="59">Q14+2</f>
        <v>79</v>
      </c>
      <c r="AH14" s="16"/>
      <c r="AI14" s="9">
        <f t="shared" si="7"/>
        <v>86.2</v>
      </c>
      <c r="AJ14" s="7">
        <f t="shared" si="8"/>
        <v>78.2</v>
      </c>
      <c r="AK14" s="7">
        <f t="shared" si="9"/>
        <v>80.7</v>
      </c>
      <c r="AL14" s="7">
        <f t="shared" si="10"/>
        <v>83.3</v>
      </c>
      <c r="AM14" s="8">
        <f t="shared" si="11"/>
        <v>82</v>
      </c>
      <c r="AN14" s="7" t="str">
        <f t="shared" si="12"/>
        <v/>
      </c>
      <c r="AO14" s="12"/>
      <c r="AP14" s="7" t="str">
        <f t="shared" si="37"/>
        <v/>
      </c>
      <c r="AQ14" s="11" t="str">
        <f t="shared" si="13"/>
        <v/>
      </c>
      <c r="AR14" s="7" t="str">
        <f t="shared" si="14"/>
        <v/>
      </c>
      <c r="AS14" s="12"/>
      <c r="AT14" s="7" t="str">
        <f t="shared" si="15"/>
        <v/>
      </c>
      <c r="AU14" s="11" t="str">
        <f t="shared" si="16"/>
        <v/>
      </c>
      <c r="AV14" s="7" t="str">
        <f t="shared" si="17"/>
        <v/>
      </c>
      <c r="AW14" s="13"/>
      <c r="AX14" s="7">
        <f t="shared" si="18"/>
        <v>82</v>
      </c>
      <c r="AY14" s="7" t="str">
        <f t="shared" si="19"/>
        <v/>
      </c>
    </row>
    <row r="15" spans="1:51" ht="15" customHeight="1" x14ac:dyDescent="0.25">
      <c r="A15" s="6">
        <v>12</v>
      </c>
      <c r="B15" s="14" t="s">
        <v>31</v>
      </c>
      <c r="C15" s="15">
        <v>91</v>
      </c>
      <c r="D15" s="16"/>
      <c r="E15" s="15">
        <v>83</v>
      </c>
      <c r="F15" s="16"/>
      <c r="G15" s="15">
        <v>94.999899999999997</v>
      </c>
      <c r="H15" s="16"/>
      <c r="I15" s="15">
        <v>92.85</v>
      </c>
      <c r="J15" s="16"/>
      <c r="K15" s="15">
        <v>95</v>
      </c>
      <c r="L15" s="16"/>
      <c r="M15" s="15">
        <v>85</v>
      </c>
      <c r="N15" s="16"/>
      <c r="O15" s="15">
        <v>77.99991</v>
      </c>
      <c r="P15" s="16"/>
      <c r="Q15" s="15">
        <v>88</v>
      </c>
      <c r="R15" s="16"/>
      <c r="S15" s="15">
        <f t="shared" ref="S15" si="60">K15+3</f>
        <v>98</v>
      </c>
      <c r="T15" s="16"/>
      <c r="U15" s="15">
        <f t="shared" si="31"/>
        <v>88</v>
      </c>
      <c r="V15" s="16"/>
      <c r="W15" s="15">
        <v>85</v>
      </c>
      <c r="X15" s="16"/>
      <c r="Y15" s="15">
        <f t="shared" ref="Y15" si="61">Q15+2</f>
        <v>90</v>
      </c>
      <c r="Z15" s="16"/>
      <c r="AA15" s="15">
        <f t="shared" ref="AA15" si="62">K15+1</f>
        <v>96</v>
      </c>
      <c r="AB15" s="16"/>
      <c r="AC15" s="15">
        <f t="shared" ref="AC15" si="63">E15+1</f>
        <v>84</v>
      </c>
      <c r="AD15" s="16"/>
      <c r="AE15" s="15">
        <v>89</v>
      </c>
      <c r="AF15" s="16"/>
      <c r="AG15" s="15">
        <f t="shared" ref="AG15" si="64">Q15+1</f>
        <v>89</v>
      </c>
      <c r="AH15" s="16"/>
      <c r="AI15" s="9">
        <f t="shared" si="7"/>
        <v>90.5</v>
      </c>
      <c r="AJ15" s="7">
        <f t="shared" si="8"/>
        <v>86.5</v>
      </c>
      <c r="AK15" s="7">
        <f t="shared" si="9"/>
        <v>90.3</v>
      </c>
      <c r="AL15" s="7">
        <f t="shared" si="10"/>
        <v>89.5</v>
      </c>
      <c r="AM15" s="8">
        <f t="shared" si="11"/>
        <v>89</v>
      </c>
      <c r="AN15" s="7" t="str">
        <f t="shared" si="12"/>
        <v/>
      </c>
      <c r="AO15" s="12"/>
      <c r="AP15" s="7" t="str">
        <f t="shared" si="37"/>
        <v/>
      </c>
      <c r="AQ15" s="11" t="str">
        <f t="shared" si="13"/>
        <v/>
      </c>
      <c r="AR15" s="7" t="str">
        <f t="shared" si="14"/>
        <v/>
      </c>
      <c r="AS15" s="12"/>
      <c r="AT15" s="7" t="str">
        <f t="shared" si="15"/>
        <v/>
      </c>
      <c r="AU15" s="11" t="str">
        <f t="shared" si="16"/>
        <v/>
      </c>
      <c r="AV15" s="7" t="str">
        <f t="shared" si="17"/>
        <v/>
      </c>
      <c r="AW15" s="13"/>
      <c r="AX15" s="7">
        <f t="shared" si="18"/>
        <v>89</v>
      </c>
      <c r="AY15" s="7" t="str">
        <f t="shared" si="19"/>
        <v/>
      </c>
    </row>
    <row r="16" spans="1:51" ht="15" customHeight="1" x14ac:dyDescent="0.25">
      <c r="A16" s="6">
        <v>13</v>
      </c>
      <c r="B16" s="14" t="s">
        <v>32</v>
      </c>
      <c r="C16" s="15">
        <v>55</v>
      </c>
      <c r="D16" s="16">
        <v>55</v>
      </c>
      <c r="E16" s="15">
        <v>61</v>
      </c>
      <c r="F16" s="16">
        <v>61</v>
      </c>
      <c r="G16" s="15">
        <v>70.833299999999994</v>
      </c>
      <c r="H16" s="16"/>
      <c r="I16" s="15">
        <v>78.569999999999993</v>
      </c>
      <c r="J16" s="16"/>
      <c r="K16" s="15">
        <v>70</v>
      </c>
      <c r="L16" s="16"/>
      <c r="M16" s="15">
        <v>64</v>
      </c>
      <c r="N16" s="16">
        <v>64</v>
      </c>
      <c r="O16" s="15">
        <v>61.666600000000003</v>
      </c>
      <c r="P16" s="16">
        <v>70</v>
      </c>
      <c r="Q16" s="15">
        <v>40</v>
      </c>
      <c r="R16" s="16">
        <v>40</v>
      </c>
      <c r="S16" s="15">
        <f t="shared" ref="S16" si="65">K16+1</f>
        <v>71</v>
      </c>
      <c r="T16" s="16"/>
      <c r="U16" s="15">
        <v>70</v>
      </c>
      <c r="V16" s="16"/>
      <c r="W16" s="15">
        <v>71</v>
      </c>
      <c r="X16" s="16"/>
      <c r="Y16" s="15">
        <v>70</v>
      </c>
      <c r="Z16" s="16"/>
      <c r="AA16" s="15">
        <f t="shared" ref="AA16" si="66">K16+3</f>
        <v>73</v>
      </c>
      <c r="AB16" s="16"/>
      <c r="AC16" s="15">
        <v>71</v>
      </c>
      <c r="AD16" s="16"/>
      <c r="AE16" s="15">
        <f t="shared" si="45"/>
        <v>71.833299999999994</v>
      </c>
      <c r="AF16" s="16"/>
      <c r="AG16" s="15">
        <v>70</v>
      </c>
      <c r="AH16" s="16"/>
      <c r="AI16" s="9">
        <f t="shared" si="7"/>
        <v>66.400000000000006</v>
      </c>
      <c r="AJ16" s="7">
        <f t="shared" si="8"/>
        <v>61</v>
      </c>
      <c r="AK16" s="7">
        <f t="shared" si="9"/>
        <v>70.5</v>
      </c>
      <c r="AL16" s="7">
        <f t="shared" si="10"/>
        <v>71.5</v>
      </c>
      <c r="AM16" s="8">
        <f t="shared" si="11"/>
        <v>67</v>
      </c>
      <c r="AN16" s="7">
        <f t="shared" si="12"/>
        <v>33.5</v>
      </c>
      <c r="AO16" s="12">
        <v>13</v>
      </c>
      <c r="AP16" s="7">
        <f t="shared" si="37"/>
        <v>6.5</v>
      </c>
      <c r="AQ16" s="11">
        <f t="shared" si="13"/>
        <v>40</v>
      </c>
      <c r="AR16" s="7">
        <f t="shared" si="14"/>
        <v>20.100000000000001</v>
      </c>
      <c r="AS16" s="12">
        <v>40</v>
      </c>
      <c r="AT16" s="7">
        <f t="shared" si="15"/>
        <v>28</v>
      </c>
      <c r="AU16" s="11">
        <f t="shared" si="16"/>
        <v>48</v>
      </c>
      <c r="AV16" s="7">
        <f t="shared" si="17"/>
        <v>67</v>
      </c>
      <c r="AW16" s="13"/>
      <c r="AX16" s="7" t="str">
        <f t="shared" si="18"/>
        <v/>
      </c>
      <c r="AY16" s="7" t="str">
        <f t="shared" si="19"/>
        <v/>
      </c>
    </row>
    <row r="17" spans="1:51" ht="15" customHeight="1" x14ac:dyDescent="0.25">
      <c r="A17" s="6">
        <v>14</v>
      </c>
      <c r="B17" s="14" t="s">
        <v>33</v>
      </c>
      <c r="C17" s="15">
        <v>55</v>
      </c>
      <c r="D17" s="16">
        <v>55</v>
      </c>
      <c r="E17" s="15">
        <v>58</v>
      </c>
      <c r="F17" s="16">
        <v>58</v>
      </c>
      <c r="G17" s="15">
        <v>55</v>
      </c>
      <c r="H17" s="16">
        <v>55</v>
      </c>
      <c r="I17" s="15">
        <v>75</v>
      </c>
      <c r="J17" s="16"/>
      <c r="K17" s="15">
        <v>74</v>
      </c>
      <c r="L17" s="16"/>
      <c r="M17" s="15">
        <v>55</v>
      </c>
      <c r="N17" s="16">
        <v>55</v>
      </c>
      <c r="O17" s="15">
        <v>55</v>
      </c>
      <c r="P17" s="16">
        <v>55</v>
      </c>
      <c r="Q17" s="15">
        <v>58</v>
      </c>
      <c r="R17" s="16">
        <v>58</v>
      </c>
      <c r="S17" s="15">
        <f t="shared" ref="S17" si="67">K17+2</f>
        <v>76</v>
      </c>
      <c r="T17" s="16"/>
      <c r="U17" s="15">
        <v>71</v>
      </c>
      <c r="V17" s="16"/>
      <c r="W17" s="15">
        <v>70</v>
      </c>
      <c r="X17" s="16"/>
      <c r="Y17" s="15">
        <v>70</v>
      </c>
      <c r="Z17" s="16"/>
      <c r="AA17" s="15">
        <f t="shared" ref="AA17" si="68">K17+2</f>
        <v>76</v>
      </c>
      <c r="AB17" s="16"/>
      <c r="AC17" s="15">
        <v>70</v>
      </c>
      <c r="AD17" s="16"/>
      <c r="AE17" s="15">
        <v>70</v>
      </c>
      <c r="AF17" s="16"/>
      <c r="AG17" s="15">
        <v>70</v>
      </c>
      <c r="AH17" s="16"/>
      <c r="AI17" s="9">
        <f t="shared" si="7"/>
        <v>60.8</v>
      </c>
      <c r="AJ17" s="7">
        <f t="shared" si="8"/>
        <v>60.5</v>
      </c>
      <c r="AK17" s="7">
        <f t="shared" si="9"/>
        <v>71.8</v>
      </c>
      <c r="AL17" s="7">
        <f t="shared" si="10"/>
        <v>71.5</v>
      </c>
      <c r="AM17" s="8">
        <f t="shared" si="11"/>
        <v>66</v>
      </c>
      <c r="AN17" s="7">
        <f t="shared" si="12"/>
        <v>33</v>
      </c>
      <c r="AO17" s="12">
        <v>13</v>
      </c>
      <c r="AP17" s="7">
        <f t="shared" si="37"/>
        <v>6.5</v>
      </c>
      <c r="AQ17" s="11">
        <f t="shared" si="13"/>
        <v>40</v>
      </c>
      <c r="AR17" s="7">
        <f t="shared" si="14"/>
        <v>19.8</v>
      </c>
      <c r="AS17" s="12">
        <v>27</v>
      </c>
      <c r="AT17" s="7">
        <f t="shared" si="15"/>
        <v>18.899999999999999</v>
      </c>
      <c r="AU17" s="11">
        <f t="shared" si="16"/>
        <v>39</v>
      </c>
      <c r="AV17" s="7">
        <f t="shared" si="17"/>
        <v>66</v>
      </c>
      <c r="AW17" s="13"/>
      <c r="AX17" s="7" t="str">
        <f t="shared" si="18"/>
        <v/>
      </c>
      <c r="AY17" s="7" t="str">
        <f t="shared" si="19"/>
        <v/>
      </c>
    </row>
    <row r="18" spans="1:51" ht="15" customHeight="1" x14ac:dyDescent="0.25">
      <c r="A18" s="6">
        <v>15</v>
      </c>
      <c r="B18" s="14" t="s">
        <v>34</v>
      </c>
      <c r="C18" s="15">
        <v>55</v>
      </c>
      <c r="D18" s="16">
        <v>55</v>
      </c>
      <c r="E18" s="15">
        <v>64</v>
      </c>
      <c r="F18" s="16">
        <v>64</v>
      </c>
      <c r="G18" s="15">
        <v>70</v>
      </c>
      <c r="H18" s="16"/>
      <c r="I18" s="15">
        <v>80</v>
      </c>
      <c r="J18" s="16"/>
      <c r="K18" s="15">
        <v>84</v>
      </c>
      <c r="L18" s="16"/>
      <c r="M18" s="15">
        <v>84</v>
      </c>
      <c r="N18" s="16"/>
      <c r="O18" s="15">
        <v>85</v>
      </c>
      <c r="P18" s="16"/>
      <c r="Q18" s="15">
        <v>77</v>
      </c>
      <c r="R18" s="16"/>
      <c r="S18" s="15">
        <f t="shared" ref="S18" si="69">K18+3</f>
        <v>87</v>
      </c>
      <c r="T18" s="16"/>
      <c r="U18" s="15">
        <v>83</v>
      </c>
      <c r="V18" s="16"/>
      <c r="W18" s="15">
        <v>88</v>
      </c>
      <c r="X18" s="16"/>
      <c r="Y18" s="15">
        <f t="shared" ref="Y18" si="70">Q18+3</f>
        <v>80</v>
      </c>
      <c r="Z18" s="16"/>
      <c r="AA18" s="15">
        <f t="shared" ref="AA18" si="71">K18+1</f>
        <v>85</v>
      </c>
      <c r="AB18" s="16"/>
      <c r="AC18" s="15">
        <v>80</v>
      </c>
      <c r="AD18" s="16"/>
      <c r="AE18" s="15">
        <v>85</v>
      </c>
      <c r="AF18" s="16"/>
      <c r="AG18" s="15">
        <f>Q18+2</f>
        <v>79</v>
      </c>
      <c r="AH18" s="16"/>
      <c r="AI18" s="9">
        <f t="shared" si="7"/>
        <v>67.3</v>
      </c>
      <c r="AJ18" s="7">
        <f t="shared" si="8"/>
        <v>82.5</v>
      </c>
      <c r="AK18" s="7">
        <f t="shared" si="9"/>
        <v>84.5</v>
      </c>
      <c r="AL18" s="7">
        <f t="shared" si="10"/>
        <v>82.3</v>
      </c>
      <c r="AM18" s="8">
        <f t="shared" si="11"/>
        <v>79</v>
      </c>
      <c r="AN18" s="7" t="str">
        <f t="shared" si="12"/>
        <v/>
      </c>
      <c r="AO18" s="12"/>
      <c r="AP18" s="7" t="str">
        <f t="shared" si="37"/>
        <v/>
      </c>
      <c r="AQ18" s="11" t="str">
        <f t="shared" si="13"/>
        <v/>
      </c>
      <c r="AR18" s="7" t="str">
        <f t="shared" si="14"/>
        <v/>
      </c>
      <c r="AS18" s="12"/>
      <c r="AT18" s="7" t="str">
        <f t="shared" si="15"/>
        <v/>
      </c>
      <c r="AU18" s="11" t="str">
        <f t="shared" si="16"/>
        <v/>
      </c>
      <c r="AV18" s="7" t="str">
        <f t="shared" si="17"/>
        <v/>
      </c>
      <c r="AW18" s="13"/>
      <c r="AX18" s="7">
        <f t="shared" si="18"/>
        <v>79</v>
      </c>
      <c r="AY18" s="7" t="str">
        <f t="shared" si="19"/>
        <v/>
      </c>
    </row>
    <row r="19" spans="1:51" ht="15" customHeight="1" x14ac:dyDescent="0.25">
      <c r="A19" s="6">
        <v>16</v>
      </c>
      <c r="B19" s="14" t="s">
        <v>35</v>
      </c>
      <c r="C19" s="15">
        <v>80</v>
      </c>
      <c r="D19" s="16"/>
      <c r="E19" s="15">
        <v>85</v>
      </c>
      <c r="F19" s="16"/>
      <c r="G19" s="15">
        <v>89.166600000000003</v>
      </c>
      <c r="H19" s="16"/>
      <c r="I19" s="15">
        <v>89.28</v>
      </c>
      <c r="J19" s="16"/>
      <c r="K19" s="15">
        <v>75</v>
      </c>
      <c r="L19" s="16"/>
      <c r="M19" s="15">
        <v>91</v>
      </c>
      <c r="N19" s="16"/>
      <c r="O19" s="15">
        <v>76.666550000000001</v>
      </c>
      <c r="P19" s="16"/>
      <c r="Q19" s="15">
        <v>72</v>
      </c>
      <c r="R19" s="16"/>
      <c r="S19" s="15">
        <f t="shared" ref="S19" si="72">K19+2</f>
        <v>77</v>
      </c>
      <c r="T19" s="16"/>
      <c r="U19" s="15">
        <f t="shared" si="52"/>
        <v>92</v>
      </c>
      <c r="V19" s="16"/>
      <c r="W19" s="15">
        <v>89</v>
      </c>
      <c r="X19" s="16"/>
      <c r="Y19" s="15">
        <f t="shared" ref="Y19:Y20" si="73">Q19+2</f>
        <v>74</v>
      </c>
      <c r="Z19" s="16"/>
      <c r="AA19" s="15">
        <f t="shared" ref="AA19" si="74">K19+2</f>
        <v>77</v>
      </c>
      <c r="AB19" s="16"/>
      <c r="AC19" s="15">
        <f t="shared" ref="AC19" si="75">E19+3</f>
        <v>88</v>
      </c>
      <c r="AD19" s="16"/>
      <c r="AE19" s="15">
        <f t="shared" si="45"/>
        <v>90.166600000000003</v>
      </c>
      <c r="AF19" s="16"/>
      <c r="AG19" s="15">
        <f>Q19+1</f>
        <v>73</v>
      </c>
      <c r="AH19" s="16"/>
      <c r="AI19" s="9">
        <f t="shared" si="7"/>
        <v>85.9</v>
      </c>
      <c r="AJ19" s="7">
        <f t="shared" si="8"/>
        <v>78.7</v>
      </c>
      <c r="AK19" s="7">
        <f t="shared" si="9"/>
        <v>83</v>
      </c>
      <c r="AL19" s="7">
        <f t="shared" si="10"/>
        <v>82</v>
      </c>
      <c r="AM19" s="8">
        <f t="shared" si="11"/>
        <v>82</v>
      </c>
      <c r="AN19" s="7" t="str">
        <f t="shared" si="12"/>
        <v/>
      </c>
      <c r="AO19" s="12"/>
      <c r="AP19" s="7" t="str">
        <f t="shared" si="37"/>
        <v/>
      </c>
      <c r="AQ19" s="11" t="str">
        <f t="shared" si="13"/>
        <v/>
      </c>
      <c r="AR19" s="7" t="str">
        <f t="shared" si="14"/>
        <v/>
      </c>
      <c r="AS19" s="12"/>
      <c r="AT19" s="7" t="str">
        <f t="shared" si="15"/>
        <v/>
      </c>
      <c r="AU19" s="11" t="str">
        <f t="shared" si="16"/>
        <v/>
      </c>
      <c r="AV19" s="7" t="str">
        <f t="shared" si="17"/>
        <v/>
      </c>
      <c r="AW19" s="13"/>
      <c r="AX19" s="7">
        <f t="shared" si="18"/>
        <v>82</v>
      </c>
      <c r="AY19" s="7" t="str">
        <f t="shared" si="19"/>
        <v/>
      </c>
    </row>
    <row r="20" spans="1:51" ht="15" customHeight="1" x14ac:dyDescent="0.25">
      <c r="A20" s="6">
        <v>17</v>
      </c>
      <c r="B20" s="14" t="s">
        <v>36</v>
      </c>
      <c r="C20" s="15">
        <v>81</v>
      </c>
      <c r="D20" s="16"/>
      <c r="E20" s="15">
        <v>83</v>
      </c>
      <c r="F20" s="16"/>
      <c r="G20" s="15">
        <v>94.999899999999997</v>
      </c>
      <c r="H20" s="16"/>
      <c r="I20" s="15">
        <v>92.85</v>
      </c>
      <c r="J20" s="16"/>
      <c r="K20" s="15">
        <v>92</v>
      </c>
      <c r="L20" s="16"/>
      <c r="M20" s="15">
        <v>96</v>
      </c>
      <c r="N20" s="16"/>
      <c r="O20" s="15">
        <v>99</v>
      </c>
      <c r="P20" s="16"/>
      <c r="Q20" s="15">
        <v>87</v>
      </c>
      <c r="R20" s="16"/>
      <c r="S20" s="15">
        <f t="shared" ref="S20" si="76">K20+3</f>
        <v>95</v>
      </c>
      <c r="T20" s="16"/>
      <c r="U20" s="15">
        <f t="shared" si="41"/>
        <v>98</v>
      </c>
      <c r="V20" s="16"/>
      <c r="W20" s="15">
        <v>95</v>
      </c>
      <c r="X20" s="16"/>
      <c r="Y20" s="15">
        <f t="shared" si="73"/>
        <v>89</v>
      </c>
      <c r="Z20" s="16"/>
      <c r="AA20" s="15">
        <f t="shared" ref="AA20" si="77">K20+1</f>
        <v>93</v>
      </c>
      <c r="AB20" s="16"/>
      <c r="AC20" s="15">
        <f t="shared" ref="AC20" si="78">E20+2</f>
        <v>85</v>
      </c>
      <c r="AD20" s="16"/>
      <c r="AE20" s="15">
        <v>94</v>
      </c>
      <c r="AF20" s="16"/>
      <c r="AG20" s="15">
        <f t="shared" ref="AG20" si="79">Q20+3</f>
        <v>90</v>
      </c>
      <c r="AH20" s="16"/>
      <c r="AI20" s="9">
        <f t="shared" si="7"/>
        <v>88</v>
      </c>
      <c r="AJ20" s="7">
        <f t="shared" si="8"/>
        <v>93.5</v>
      </c>
      <c r="AK20" s="7">
        <f t="shared" si="9"/>
        <v>94.3</v>
      </c>
      <c r="AL20" s="7">
        <f t="shared" si="10"/>
        <v>90.5</v>
      </c>
      <c r="AM20" s="8">
        <f t="shared" si="11"/>
        <v>92</v>
      </c>
      <c r="AN20" s="7" t="str">
        <f t="shared" si="12"/>
        <v/>
      </c>
      <c r="AO20" s="12"/>
      <c r="AP20" s="7" t="str">
        <f t="shared" si="37"/>
        <v/>
      </c>
      <c r="AQ20" s="11" t="str">
        <f t="shared" si="13"/>
        <v/>
      </c>
      <c r="AR20" s="7" t="str">
        <f t="shared" si="14"/>
        <v/>
      </c>
      <c r="AS20" s="12"/>
      <c r="AT20" s="7" t="str">
        <f t="shared" si="15"/>
        <v/>
      </c>
      <c r="AU20" s="11" t="str">
        <f t="shared" si="16"/>
        <v/>
      </c>
      <c r="AV20" s="7" t="str">
        <f t="shared" si="17"/>
        <v/>
      </c>
      <c r="AW20" s="13"/>
      <c r="AX20" s="7">
        <f t="shared" si="18"/>
        <v>92</v>
      </c>
      <c r="AY20" s="7" t="str">
        <f t="shared" si="19"/>
        <v/>
      </c>
    </row>
    <row r="21" spans="1:51" ht="15" customHeight="1" x14ac:dyDescent="0.25">
      <c r="A21" s="6">
        <v>18</v>
      </c>
      <c r="B21" s="14" t="s">
        <v>37</v>
      </c>
      <c r="C21" s="15">
        <v>63</v>
      </c>
      <c r="D21" s="16">
        <v>71</v>
      </c>
      <c r="E21" s="15">
        <v>70</v>
      </c>
      <c r="F21" s="16"/>
      <c r="G21" s="15">
        <v>82.5</v>
      </c>
      <c r="H21" s="16"/>
      <c r="I21" s="15">
        <v>80.709999999999994</v>
      </c>
      <c r="J21" s="16"/>
      <c r="K21" s="15">
        <v>87</v>
      </c>
      <c r="L21" s="16"/>
      <c r="M21" s="15">
        <v>75</v>
      </c>
      <c r="N21" s="16"/>
      <c r="O21" s="15">
        <v>72.333280000000002</v>
      </c>
      <c r="P21" s="16"/>
      <c r="Q21" s="15">
        <v>72</v>
      </c>
      <c r="R21" s="16"/>
      <c r="S21" s="15">
        <f t="shared" ref="S21" si="80">K21+1</f>
        <v>88</v>
      </c>
      <c r="T21" s="16"/>
      <c r="U21" s="15">
        <f t="shared" si="31"/>
        <v>78</v>
      </c>
      <c r="V21" s="16"/>
      <c r="W21" s="15">
        <f t="shared" ref="W21" si="81">O21+2</f>
        <v>74.333280000000002</v>
      </c>
      <c r="X21" s="16"/>
      <c r="Y21" s="15">
        <f t="shared" ref="Y21" si="82">Q21+1</f>
        <v>73</v>
      </c>
      <c r="Z21" s="16"/>
      <c r="AA21" s="15">
        <f t="shared" ref="AA21" si="83">K21+3</f>
        <v>90</v>
      </c>
      <c r="AB21" s="16"/>
      <c r="AC21" s="15">
        <v>81</v>
      </c>
      <c r="AD21" s="16"/>
      <c r="AE21" s="15">
        <v>83</v>
      </c>
      <c r="AF21" s="16"/>
      <c r="AG21" s="15">
        <f t="shared" ref="AG21:AG22" si="84">Q21+2</f>
        <v>74</v>
      </c>
      <c r="AH21" s="16"/>
      <c r="AI21" s="9">
        <f t="shared" si="7"/>
        <v>76.099999999999994</v>
      </c>
      <c r="AJ21" s="7">
        <f t="shared" si="8"/>
        <v>76.599999999999994</v>
      </c>
      <c r="AK21" s="7">
        <f t="shared" si="9"/>
        <v>78.3</v>
      </c>
      <c r="AL21" s="7">
        <f t="shared" si="10"/>
        <v>82</v>
      </c>
      <c r="AM21" s="8">
        <f t="shared" si="11"/>
        <v>78</v>
      </c>
      <c r="AN21" s="7" t="str">
        <f t="shared" si="12"/>
        <v/>
      </c>
      <c r="AO21" s="12"/>
      <c r="AP21" s="7" t="str">
        <f t="shared" si="37"/>
        <v/>
      </c>
      <c r="AQ21" s="11" t="str">
        <f t="shared" si="13"/>
        <v/>
      </c>
      <c r="AR21" s="7" t="str">
        <f t="shared" si="14"/>
        <v/>
      </c>
      <c r="AS21" s="12"/>
      <c r="AT21" s="7" t="str">
        <f t="shared" si="15"/>
        <v/>
      </c>
      <c r="AU21" s="11" t="str">
        <f t="shared" si="16"/>
        <v/>
      </c>
      <c r="AV21" s="7" t="str">
        <f t="shared" si="17"/>
        <v/>
      </c>
      <c r="AW21" s="13"/>
      <c r="AX21" s="7">
        <f t="shared" si="18"/>
        <v>78</v>
      </c>
      <c r="AY21" s="7" t="str">
        <f t="shared" si="19"/>
        <v/>
      </c>
    </row>
    <row r="22" spans="1:51" ht="15" customHeight="1" x14ac:dyDescent="0.25">
      <c r="A22" s="6">
        <v>19</v>
      </c>
      <c r="B22" s="14" t="s">
        <v>38</v>
      </c>
      <c r="C22" s="15">
        <v>72</v>
      </c>
      <c r="D22" s="16"/>
      <c r="E22" s="15">
        <v>71</v>
      </c>
      <c r="F22" s="16"/>
      <c r="G22" s="15">
        <v>75</v>
      </c>
      <c r="H22" s="16"/>
      <c r="I22" s="15">
        <v>70</v>
      </c>
      <c r="J22" s="16"/>
      <c r="K22" s="15">
        <v>80</v>
      </c>
      <c r="L22" s="16"/>
      <c r="M22" s="15">
        <v>73</v>
      </c>
      <c r="N22" s="16"/>
      <c r="O22" s="15">
        <v>75</v>
      </c>
      <c r="P22" s="16"/>
      <c r="Q22" s="15">
        <v>74</v>
      </c>
      <c r="R22" s="16"/>
      <c r="S22" s="15">
        <f t="shared" ref="S22" si="85">K22+2</f>
        <v>82</v>
      </c>
      <c r="T22" s="16"/>
      <c r="U22" s="15">
        <f t="shared" si="52"/>
        <v>74</v>
      </c>
      <c r="V22" s="16"/>
      <c r="W22" s="15">
        <f t="shared" si="21"/>
        <v>78</v>
      </c>
      <c r="X22" s="16"/>
      <c r="Y22" s="15">
        <f t="shared" ref="Y22" si="86">Q22+3</f>
        <v>77</v>
      </c>
      <c r="Z22" s="16"/>
      <c r="AA22" s="15">
        <f t="shared" ref="AA22" si="87">K22+2</f>
        <v>82</v>
      </c>
      <c r="AB22" s="16"/>
      <c r="AC22" s="15">
        <f t="shared" ref="AC22" si="88">E22+3</f>
        <v>74</v>
      </c>
      <c r="AD22" s="16"/>
      <c r="AE22" s="15">
        <f t="shared" ref="AE22" si="89">G22+2</f>
        <v>77</v>
      </c>
      <c r="AF22" s="16"/>
      <c r="AG22" s="15">
        <f t="shared" si="84"/>
        <v>76</v>
      </c>
      <c r="AH22" s="16"/>
      <c r="AI22" s="9">
        <f t="shared" si="7"/>
        <v>72</v>
      </c>
      <c r="AJ22" s="7">
        <f t="shared" si="8"/>
        <v>75.5</v>
      </c>
      <c r="AK22" s="7">
        <f t="shared" si="9"/>
        <v>77.8</v>
      </c>
      <c r="AL22" s="7">
        <f t="shared" si="10"/>
        <v>77.3</v>
      </c>
      <c r="AM22" s="8">
        <f t="shared" si="11"/>
        <v>76</v>
      </c>
      <c r="AN22" s="7" t="str">
        <f t="shared" si="12"/>
        <v/>
      </c>
      <c r="AO22" s="12"/>
      <c r="AP22" s="7" t="str">
        <f t="shared" si="37"/>
        <v/>
      </c>
      <c r="AQ22" s="11" t="str">
        <f t="shared" si="13"/>
        <v/>
      </c>
      <c r="AR22" s="7" t="str">
        <f t="shared" si="14"/>
        <v/>
      </c>
      <c r="AS22" s="12"/>
      <c r="AT22" s="7" t="str">
        <f t="shared" si="15"/>
        <v/>
      </c>
      <c r="AU22" s="11" t="str">
        <f t="shared" si="16"/>
        <v/>
      </c>
      <c r="AV22" s="7" t="str">
        <f t="shared" si="17"/>
        <v/>
      </c>
      <c r="AW22" s="13"/>
      <c r="AX22" s="7">
        <f t="shared" si="18"/>
        <v>76</v>
      </c>
      <c r="AY22" s="7" t="str">
        <f t="shared" si="19"/>
        <v/>
      </c>
    </row>
    <row r="23" spans="1:51" ht="15" customHeight="1" x14ac:dyDescent="0.25">
      <c r="A23" s="6">
        <v>20</v>
      </c>
      <c r="B23" s="14" t="s">
        <v>39</v>
      </c>
      <c r="C23" s="15">
        <v>91</v>
      </c>
      <c r="D23" s="16"/>
      <c r="E23" s="15">
        <v>80</v>
      </c>
      <c r="F23" s="16"/>
      <c r="G23" s="15">
        <v>75</v>
      </c>
      <c r="H23" s="16"/>
      <c r="I23" s="15">
        <v>72</v>
      </c>
      <c r="J23" s="16"/>
      <c r="K23" s="15">
        <v>95</v>
      </c>
      <c r="L23" s="16"/>
      <c r="M23" s="15">
        <v>84</v>
      </c>
      <c r="N23" s="16"/>
      <c r="O23" s="15">
        <v>60</v>
      </c>
      <c r="P23" s="16">
        <v>60</v>
      </c>
      <c r="Q23" s="15">
        <v>40</v>
      </c>
      <c r="R23" s="16">
        <v>70</v>
      </c>
      <c r="S23" s="15">
        <f t="shared" ref="S23" si="90">K23+3</f>
        <v>98</v>
      </c>
      <c r="T23" s="16"/>
      <c r="U23" s="15">
        <f t="shared" si="41"/>
        <v>86</v>
      </c>
      <c r="V23" s="16"/>
      <c r="W23" s="15">
        <v>73</v>
      </c>
      <c r="X23" s="16"/>
      <c r="Y23" s="15">
        <v>70</v>
      </c>
      <c r="Z23" s="16"/>
      <c r="AA23" s="15">
        <f t="shared" ref="AA23" si="91">K23+1</f>
        <v>96</v>
      </c>
      <c r="AB23" s="16"/>
      <c r="AC23" s="15">
        <f t="shared" ref="AC23" si="92">E23+2</f>
        <v>82</v>
      </c>
      <c r="AD23" s="16"/>
      <c r="AE23" s="15">
        <v>74</v>
      </c>
      <c r="AF23" s="16"/>
      <c r="AG23" s="15">
        <v>70</v>
      </c>
      <c r="AH23" s="16"/>
      <c r="AI23" s="9">
        <f t="shared" si="7"/>
        <v>79.5</v>
      </c>
      <c r="AJ23" s="7">
        <f t="shared" si="8"/>
        <v>77.3</v>
      </c>
      <c r="AK23" s="7">
        <f t="shared" si="9"/>
        <v>81.8</v>
      </c>
      <c r="AL23" s="7">
        <f t="shared" si="10"/>
        <v>80.5</v>
      </c>
      <c r="AM23" s="8">
        <f t="shared" si="11"/>
        <v>80</v>
      </c>
      <c r="AN23" s="7" t="str">
        <f t="shared" si="12"/>
        <v/>
      </c>
      <c r="AO23" s="12"/>
      <c r="AP23" s="7" t="str">
        <f t="shared" si="37"/>
        <v/>
      </c>
      <c r="AQ23" s="11" t="str">
        <f t="shared" si="13"/>
        <v/>
      </c>
      <c r="AR23" s="7" t="str">
        <f t="shared" si="14"/>
        <v/>
      </c>
      <c r="AS23" s="12"/>
      <c r="AT23" s="7" t="str">
        <f t="shared" si="15"/>
        <v/>
      </c>
      <c r="AU23" s="11" t="str">
        <f t="shared" si="16"/>
        <v/>
      </c>
      <c r="AV23" s="7" t="str">
        <f t="shared" si="17"/>
        <v/>
      </c>
      <c r="AW23" s="13"/>
      <c r="AX23" s="7">
        <f t="shared" si="18"/>
        <v>80</v>
      </c>
      <c r="AY23" s="7" t="str">
        <f t="shared" si="19"/>
        <v/>
      </c>
    </row>
    <row r="24" spans="1:51" ht="15" customHeight="1" x14ac:dyDescent="0.25">
      <c r="A24" s="6">
        <v>21</v>
      </c>
      <c r="B24" s="14" t="s">
        <v>40</v>
      </c>
      <c r="C24" s="15">
        <v>60</v>
      </c>
      <c r="D24" s="16">
        <v>74</v>
      </c>
      <c r="E24" s="15">
        <v>76</v>
      </c>
      <c r="F24" s="16"/>
      <c r="G24" s="15">
        <v>78.333299999999994</v>
      </c>
      <c r="H24" s="16"/>
      <c r="I24" s="15">
        <v>72</v>
      </c>
      <c r="J24" s="16"/>
      <c r="K24" s="15">
        <v>74</v>
      </c>
      <c r="L24" s="16"/>
      <c r="M24" s="15">
        <v>77</v>
      </c>
      <c r="N24" s="16"/>
      <c r="O24" s="15">
        <v>80.666629999999998</v>
      </c>
      <c r="P24" s="16"/>
      <c r="Q24" s="15">
        <v>57</v>
      </c>
      <c r="R24" s="16">
        <v>75</v>
      </c>
      <c r="S24" s="15">
        <f t="shared" ref="S24" si="93">K24+1</f>
        <v>75</v>
      </c>
      <c r="T24" s="16"/>
      <c r="U24" s="15">
        <f t="shared" si="31"/>
        <v>80</v>
      </c>
      <c r="V24" s="16"/>
      <c r="W24" s="15">
        <f t="shared" si="0"/>
        <v>81.666629999999998</v>
      </c>
      <c r="X24" s="16"/>
      <c r="Y24" s="15">
        <v>71</v>
      </c>
      <c r="Z24" s="16"/>
      <c r="AA24" s="15">
        <f t="shared" ref="AA24" si="94">K24+3</f>
        <v>77</v>
      </c>
      <c r="AB24" s="16"/>
      <c r="AC24" s="15">
        <f t="shared" ref="AC24" si="95">E24+1</f>
        <v>77</v>
      </c>
      <c r="AD24" s="16"/>
      <c r="AE24" s="15">
        <f t="shared" si="45"/>
        <v>79.333299999999994</v>
      </c>
      <c r="AF24" s="16"/>
      <c r="AG24" s="15">
        <v>70</v>
      </c>
      <c r="AH24" s="16"/>
      <c r="AI24" s="9">
        <f t="shared" si="7"/>
        <v>75.099999999999994</v>
      </c>
      <c r="AJ24" s="7">
        <f t="shared" si="8"/>
        <v>76.7</v>
      </c>
      <c r="AK24" s="7">
        <f t="shared" si="9"/>
        <v>76.900000000000006</v>
      </c>
      <c r="AL24" s="7">
        <f t="shared" si="10"/>
        <v>75.8</v>
      </c>
      <c r="AM24" s="8">
        <f t="shared" si="11"/>
        <v>76</v>
      </c>
      <c r="AN24" s="7" t="str">
        <f t="shared" si="12"/>
        <v/>
      </c>
      <c r="AO24" s="12"/>
      <c r="AP24" s="7" t="str">
        <f t="shared" si="37"/>
        <v/>
      </c>
      <c r="AQ24" s="11" t="str">
        <f t="shared" si="13"/>
        <v/>
      </c>
      <c r="AR24" s="7" t="str">
        <f t="shared" si="14"/>
        <v/>
      </c>
      <c r="AS24" s="12"/>
      <c r="AT24" s="7" t="str">
        <f t="shared" si="15"/>
        <v/>
      </c>
      <c r="AU24" s="11" t="str">
        <f t="shared" si="16"/>
        <v/>
      </c>
      <c r="AV24" s="7" t="str">
        <f t="shared" si="17"/>
        <v/>
      </c>
      <c r="AW24" s="13"/>
      <c r="AX24" s="7">
        <f t="shared" si="18"/>
        <v>76</v>
      </c>
      <c r="AY24" s="7" t="str">
        <f t="shared" si="19"/>
        <v/>
      </c>
    </row>
    <row r="25" spans="1:51" ht="15" customHeight="1" x14ac:dyDescent="0.25">
      <c r="A25" s="6">
        <v>22</v>
      </c>
      <c r="B25" s="14" t="s">
        <v>41</v>
      </c>
      <c r="C25" s="15">
        <v>55</v>
      </c>
      <c r="D25" s="16">
        <v>55</v>
      </c>
      <c r="E25" s="15">
        <v>55</v>
      </c>
      <c r="F25" s="16">
        <v>75</v>
      </c>
      <c r="G25" s="15">
        <v>76.666600000000003</v>
      </c>
      <c r="H25" s="16"/>
      <c r="I25" s="15">
        <v>72</v>
      </c>
      <c r="J25" s="16"/>
      <c r="K25" s="15">
        <v>79</v>
      </c>
      <c r="L25" s="16"/>
      <c r="M25" s="15">
        <v>73</v>
      </c>
      <c r="N25" s="16"/>
      <c r="O25" s="15">
        <v>81.666600000000003</v>
      </c>
      <c r="P25" s="16"/>
      <c r="Q25" s="15">
        <v>56</v>
      </c>
      <c r="R25" s="16">
        <v>76</v>
      </c>
      <c r="S25" s="15">
        <f t="shared" ref="S25" si="96">K25+2</f>
        <v>81</v>
      </c>
      <c r="T25" s="16"/>
      <c r="U25" s="15">
        <f t="shared" si="52"/>
        <v>74</v>
      </c>
      <c r="V25" s="16"/>
      <c r="W25" s="15">
        <v>75</v>
      </c>
      <c r="X25" s="16"/>
      <c r="Y25" s="15">
        <v>72</v>
      </c>
      <c r="Z25" s="16"/>
      <c r="AA25" s="15">
        <f t="shared" ref="AA25" si="97">K25+2</f>
        <v>81</v>
      </c>
      <c r="AB25" s="16"/>
      <c r="AC25" s="15">
        <v>70</v>
      </c>
      <c r="AD25" s="16"/>
      <c r="AE25" s="15">
        <v>73</v>
      </c>
      <c r="AF25" s="16"/>
      <c r="AG25" s="15">
        <v>70</v>
      </c>
      <c r="AH25" s="16"/>
      <c r="AI25" s="9">
        <f t="shared" si="7"/>
        <v>69.7</v>
      </c>
      <c r="AJ25" s="7">
        <f t="shared" si="8"/>
        <v>77.400000000000006</v>
      </c>
      <c r="AK25" s="7">
        <f t="shared" si="9"/>
        <v>75.5</v>
      </c>
      <c r="AL25" s="7">
        <f t="shared" si="10"/>
        <v>73.5</v>
      </c>
      <c r="AM25" s="8">
        <f t="shared" si="11"/>
        <v>74</v>
      </c>
      <c r="AN25" s="7" t="str">
        <f t="shared" si="12"/>
        <v/>
      </c>
      <c r="AO25" s="12"/>
      <c r="AP25" s="7" t="str">
        <f t="shared" si="37"/>
        <v/>
      </c>
      <c r="AQ25" s="11" t="str">
        <f t="shared" si="13"/>
        <v/>
      </c>
      <c r="AR25" s="7" t="str">
        <f t="shared" si="14"/>
        <v/>
      </c>
      <c r="AS25" s="12"/>
      <c r="AT25" s="7" t="str">
        <f t="shared" si="15"/>
        <v/>
      </c>
      <c r="AU25" s="11" t="str">
        <f t="shared" si="16"/>
        <v/>
      </c>
      <c r="AV25" s="7" t="str">
        <f t="shared" si="17"/>
        <v/>
      </c>
      <c r="AW25" s="13"/>
      <c r="AX25" s="7">
        <f t="shared" si="18"/>
        <v>74</v>
      </c>
      <c r="AY25" s="7" t="str">
        <f t="shared" si="19"/>
        <v/>
      </c>
    </row>
    <row r="26" spans="1:51" ht="15" customHeight="1" x14ac:dyDescent="0.25">
      <c r="A26" s="6">
        <v>23</v>
      </c>
      <c r="B26" s="14" t="s">
        <v>42</v>
      </c>
      <c r="C26" s="15">
        <v>55</v>
      </c>
      <c r="D26" s="16">
        <v>55</v>
      </c>
      <c r="E26" s="15">
        <v>55</v>
      </c>
      <c r="F26" s="16">
        <v>55</v>
      </c>
      <c r="G26" s="15">
        <v>55</v>
      </c>
      <c r="H26" s="16">
        <v>55</v>
      </c>
      <c r="I26" s="15">
        <v>55</v>
      </c>
      <c r="J26" s="16">
        <v>55</v>
      </c>
      <c r="K26" s="15">
        <v>65</v>
      </c>
      <c r="L26" s="16">
        <v>65</v>
      </c>
      <c r="M26" s="15">
        <v>55</v>
      </c>
      <c r="N26" s="16">
        <v>55</v>
      </c>
      <c r="O26" s="15">
        <v>55</v>
      </c>
      <c r="P26" s="16">
        <v>55</v>
      </c>
      <c r="Q26" s="15">
        <v>40</v>
      </c>
      <c r="R26" s="16">
        <v>40</v>
      </c>
      <c r="S26" s="15">
        <v>70</v>
      </c>
      <c r="T26" s="16"/>
      <c r="U26" s="15">
        <v>71</v>
      </c>
      <c r="V26" s="16"/>
      <c r="W26" s="15">
        <v>70</v>
      </c>
      <c r="X26" s="16"/>
      <c r="Y26" s="15">
        <v>70</v>
      </c>
      <c r="Z26" s="16"/>
      <c r="AA26" s="15">
        <v>71</v>
      </c>
      <c r="AB26" s="16"/>
      <c r="AC26" s="15">
        <v>70</v>
      </c>
      <c r="AD26" s="16"/>
      <c r="AE26" s="15">
        <v>70</v>
      </c>
      <c r="AF26" s="16"/>
      <c r="AG26" s="15">
        <v>70</v>
      </c>
      <c r="AH26" s="16"/>
      <c r="AI26" s="9">
        <f t="shared" si="7"/>
        <v>55</v>
      </c>
      <c r="AJ26" s="7">
        <f t="shared" si="8"/>
        <v>53.8</v>
      </c>
      <c r="AK26" s="7">
        <f t="shared" si="9"/>
        <v>70.3</v>
      </c>
      <c r="AL26" s="7">
        <f t="shared" si="10"/>
        <v>70.3</v>
      </c>
      <c r="AM26" s="8">
        <f t="shared" si="11"/>
        <v>62</v>
      </c>
      <c r="AN26" s="7">
        <f t="shared" si="12"/>
        <v>31</v>
      </c>
      <c r="AO26" s="12">
        <v>0</v>
      </c>
      <c r="AP26" s="7">
        <f t="shared" si="37"/>
        <v>0</v>
      </c>
      <c r="AQ26" s="11">
        <f t="shared" si="13"/>
        <v>31</v>
      </c>
      <c r="AR26" s="7">
        <f t="shared" si="14"/>
        <v>18.600000000000001</v>
      </c>
      <c r="AS26" s="12">
        <v>0</v>
      </c>
      <c r="AT26" s="7">
        <f t="shared" si="15"/>
        <v>0</v>
      </c>
      <c r="AU26" s="11">
        <f t="shared" si="16"/>
        <v>19</v>
      </c>
      <c r="AV26" s="7">
        <f t="shared" si="17"/>
        <v>62</v>
      </c>
      <c r="AW26" s="13"/>
      <c r="AX26" s="7" t="str">
        <f t="shared" si="18"/>
        <v/>
      </c>
      <c r="AY26" s="7" t="str">
        <f t="shared" si="19"/>
        <v/>
      </c>
    </row>
    <row r="27" spans="1:51" ht="15" customHeight="1" x14ac:dyDescent="0.25">
      <c r="A27" s="6">
        <v>24</v>
      </c>
      <c r="B27" s="14" t="s">
        <v>21</v>
      </c>
      <c r="C27" s="15">
        <v>55</v>
      </c>
      <c r="D27" s="16">
        <v>55</v>
      </c>
      <c r="E27" s="15">
        <v>55</v>
      </c>
      <c r="F27" s="16">
        <v>55</v>
      </c>
      <c r="G27" s="15">
        <v>55</v>
      </c>
      <c r="H27" s="16">
        <v>55</v>
      </c>
      <c r="I27" s="15">
        <v>70</v>
      </c>
      <c r="J27" s="16"/>
      <c r="K27" s="15">
        <v>79</v>
      </c>
      <c r="L27" s="16"/>
      <c r="M27" s="15">
        <v>77</v>
      </c>
      <c r="N27" s="16"/>
      <c r="O27" s="15">
        <v>70</v>
      </c>
      <c r="P27" s="16"/>
      <c r="Q27" s="15">
        <v>73</v>
      </c>
      <c r="R27" s="16"/>
      <c r="S27" s="15">
        <f>K27+2</f>
        <v>81</v>
      </c>
      <c r="T27" s="16"/>
      <c r="U27" s="15">
        <f t="shared" si="31"/>
        <v>80</v>
      </c>
      <c r="V27" s="16"/>
      <c r="W27" s="15">
        <v>71</v>
      </c>
      <c r="X27" s="16"/>
      <c r="Y27" s="15">
        <f t="shared" ref="Y27:Y28" si="98">Q27+2</f>
        <v>75</v>
      </c>
      <c r="Z27" s="16"/>
      <c r="AA27" s="15">
        <f>K27+2</f>
        <v>81</v>
      </c>
      <c r="AB27" s="16"/>
      <c r="AC27" s="15">
        <v>79</v>
      </c>
      <c r="AD27" s="16"/>
      <c r="AE27" s="15">
        <v>70</v>
      </c>
      <c r="AF27" s="16"/>
      <c r="AG27" s="15">
        <f t="shared" ref="AG27" si="99">Q27+1</f>
        <v>74</v>
      </c>
      <c r="AH27" s="16"/>
      <c r="AI27" s="9">
        <f t="shared" si="7"/>
        <v>58.8</v>
      </c>
      <c r="AJ27" s="7">
        <f t="shared" si="8"/>
        <v>74.8</v>
      </c>
      <c r="AK27" s="7">
        <f t="shared" si="9"/>
        <v>76.8</v>
      </c>
      <c r="AL27" s="7">
        <f t="shared" si="10"/>
        <v>76</v>
      </c>
      <c r="AM27" s="8">
        <f t="shared" si="11"/>
        <v>72</v>
      </c>
      <c r="AN27" s="7" t="str">
        <f t="shared" si="12"/>
        <v/>
      </c>
      <c r="AO27" s="12"/>
      <c r="AP27" s="7" t="str">
        <f t="shared" si="37"/>
        <v/>
      </c>
      <c r="AQ27" s="11" t="str">
        <f t="shared" si="13"/>
        <v/>
      </c>
      <c r="AR27" s="7" t="str">
        <f t="shared" si="14"/>
        <v/>
      </c>
      <c r="AS27" s="12"/>
      <c r="AT27" s="7" t="str">
        <f t="shared" si="15"/>
        <v/>
      </c>
      <c r="AU27" s="11" t="str">
        <f t="shared" si="16"/>
        <v/>
      </c>
      <c r="AV27" s="7" t="str">
        <f t="shared" si="17"/>
        <v/>
      </c>
      <c r="AW27" s="13"/>
      <c r="AX27" s="7">
        <f t="shared" si="18"/>
        <v>72</v>
      </c>
      <c r="AY27" s="7" t="str">
        <f t="shared" si="19"/>
        <v/>
      </c>
    </row>
    <row r="28" spans="1:51" ht="15" customHeight="1" x14ac:dyDescent="0.25">
      <c r="A28" s="6">
        <v>25</v>
      </c>
      <c r="B28" s="14" t="s">
        <v>43</v>
      </c>
      <c r="C28" s="15">
        <v>91</v>
      </c>
      <c r="D28" s="16"/>
      <c r="E28" s="15">
        <v>83</v>
      </c>
      <c r="F28" s="16"/>
      <c r="G28" s="15">
        <v>85</v>
      </c>
      <c r="H28" s="16"/>
      <c r="I28" s="15">
        <v>70</v>
      </c>
      <c r="J28" s="16"/>
      <c r="K28" s="15">
        <v>90</v>
      </c>
      <c r="L28" s="16"/>
      <c r="M28" s="15">
        <v>93</v>
      </c>
      <c r="N28" s="16"/>
      <c r="O28" s="15">
        <v>80.666629999999998</v>
      </c>
      <c r="P28" s="16"/>
      <c r="Q28" s="15">
        <v>70</v>
      </c>
      <c r="R28" s="16"/>
      <c r="S28" s="15">
        <f t="shared" ref="S28" si="100">K28+1</f>
        <v>91</v>
      </c>
      <c r="T28" s="16"/>
      <c r="U28" s="15">
        <f t="shared" si="52"/>
        <v>94</v>
      </c>
      <c r="V28" s="16"/>
      <c r="W28" s="15">
        <v>90</v>
      </c>
      <c r="X28" s="16"/>
      <c r="Y28" s="15">
        <f t="shared" si="98"/>
        <v>72</v>
      </c>
      <c r="Z28" s="16"/>
      <c r="AA28" s="15">
        <f t="shared" ref="AA28" si="101">K28+3</f>
        <v>93</v>
      </c>
      <c r="AB28" s="16"/>
      <c r="AC28" s="15">
        <f t="shared" ref="AC28" si="102">E28+3</f>
        <v>86</v>
      </c>
      <c r="AD28" s="16"/>
      <c r="AE28" s="15">
        <v>90</v>
      </c>
      <c r="AF28" s="16"/>
      <c r="AG28" s="15">
        <f t="shared" ref="AG28" si="103">Q28+3</f>
        <v>73</v>
      </c>
      <c r="AH28" s="16"/>
      <c r="AI28" s="9">
        <f t="shared" si="7"/>
        <v>82.3</v>
      </c>
      <c r="AJ28" s="7">
        <f t="shared" si="8"/>
        <v>83.4</v>
      </c>
      <c r="AK28" s="7">
        <f t="shared" si="9"/>
        <v>86.8</v>
      </c>
      <c r="AL28" s="7">
        <f t="shared" si="10"/>
        <v>85.5</v>
      </c>
      <c r="AM28" s="8">
        <f t="shared" si="11"/>
        <v>85</v>
      </c>
      <c r="AN28" s="7" t="str">
        <f t="shared" si="12"/>
        <v/>
      </c>
      <c r="AO28" s="12"/>
      <c r="AP28" s="7" t="str">
        <f t="shared" si="37"/>
        <v/>
      </c>
      <c r="AQ28" s="11" t="str">
        <f t="shared" si="13"/>
        <v/>
      </c>
      <c r="AR28" s="7" t="str">
        <f t="shared" si="14"/>
        <v/>
      </c>
      <c r="AS28" s="12"/>
      <c r="AT28" s="7" t="str">
        <f t="shared" si="15"/>
        <v/>
      </c>
      <c r="AU28" s="11" t="str">
        <f t="shared" si="16"/>
        <v/>
      </c>
      <c r="AV28" s="7" t="str">
        <f t="shared" si="17"/>
        <v/>
      </c>
      <c r="AW28" s="13"/>
      <c r="AX28" s="7">
        <f t="shared" si="18"/>
        <v>85</v>
      </c>
      <c r="AY28" s="7" t="str">
        <f t="shared" si="19"/>
        <v/>
      </c>
    </row>
    <row r="29" spans="1:51" ht="15" customHeight="1" x14ac:dyDescent="0.25">
      <c r="A29" s="6">
        <v>26</v>
      </c>
      <c r="B29" s="14"/>
      <c r="C29" s="15"/>
      <c r="D29" s="16"/>
      <c r="E29" s="15"/>
      <c r="F29" s="16"/>
      <c r="G29" s="15"/>
      <c r="H29" s="16"/>
      <c r="I29" s="15"/>
      <c r="J29" s="16"/>
      <c r="K29" s="15"/>
      <c r="L29" s="16"/>
      <c r="M29" s="15"/>
      <c r="N29" s="16"/>
      <c r="O29" s="15"/>
      <c r="P29" s="16"/>
      <c r="Q29" s="15"/>
      <c r="R29" s="16"/>
      <c r="S29" s="15"/>
      <c r="T29" s="16"/>
      <c r="U29" s="15"/>
      <c r="V29" s="16"/>
      <c r="W29" s="15"/>
      <c r="X29" s="16"/>
      <c r="Y29" s="15"/>
      <c r="Z29" s="16"/>
      <c r="AA29" s="15"/>
      <c r="AB29" s="16"/>
      <c r="AC29" s="15"/>
      <c r="AD29" s="16"/>
      <c r="AE29" s="15"/>
      <c r="AF29" s="16"/>
      <c r="AG29" s="15"/>
      <c r="AH29" s="16"/>
      <c r="AI29" s="9" t="str">
        <f t="shared" si="7"/>
        <v/>
      </c>
      <c r="AJ29" s="7" t="str">
        <f t="shared" si="8"/>
        <v/>
      </c>
      <c r="AK29" s="7" t="str">
        <f t="shared" si="9"/>
        <v/>
      </c>
      <c r="AL29" s="7" t="str">
        <f t="shared" si="10"/>
        <v/>
      </c>
      <c r="AM29" s="8" t="str">
        <f t="shared" si="11"/>
        <v/>
      </c>
      <c r="AN29" s="7" t="str">
        <f t="shared" si="12"/>
        <v/>
      </c>
      <c r="AO29" s="12"/>
      <c r="AP29" s="7" t="str">
        <f t="shared" si="37"/>
        <v/>
      </c>
      <c r="AQ29" s="11" t="str">
        <f t="shared" si="13"/>
        <v/>
      </c>
      <c r="AR29" s="7" t="str">
        <f t="shared" si="14"/>
        <v/>
      </c>
      <c r="AS29" s="12"/>
      <c r="AT29" s="7" t="str">
        <f t="shared" si="15"/>
        <v/>
      </c>
      <c r="AU29" s="11" t="str">
        <f t="shared" si="16"/>
        <v/>
      </c>
      <c r="AV29" s="7" t="str">
        <f t="shared" si="17"/>
        <v/>
      </c>
      <c r="AW29" s="13"/>
      <c r="AX29" s="7" t="str">
        <f t="shared" si="18"/>
        <v/>
      </c>
      <c r="AY29" s="7" t="str">
        <f t="shared" si="19"/>
        <v/>
      </c>
    </row>
    <row r="30" spans="1:51" ht="15" customHeight="1" x14ac:dyDescent="0.25">
      <c r="A30" s="6">
        <v>27</v>
      </c>
      <c r="B30" s="14"/>
      <c r="C30" s="15"/>
      <c r="D30" s="16"/>
      <c r="E30" s="15"/>
      <c r="F30" s="16"/>
      <c r="G30" s="15"/>
      <c r="H30" s="16"/>
      <c r="I30" s="15"/>
      <c r="J30" s="16"/>
      <c r="K30" s="15"/>
      <c r="L30" s="16"/>
      <c r="M30" s="15"/>
      <c r="N30" s="16"/>
      <c r="O30" s="15"/>
      <c r="P30" s="16"/>
      <c r="Q30" s="15"/>
      <c r="R30" s="16"/>
      <c r="S30" s="15"/>
      <c r="T30" s="16"/>
      <c r="U30" s="15"/>
      <c r="V30" s="16"/>
      <c r="W30" s="15"/>
      <c r="X30" s="16"/>
      <c r="Y30" s="15"/>
      <c r="Z30" s="16"/>
      <c r="AA30" s="15"/>
      <c r="AB30" s="16"/>
      <c r="AC30" s="15"/>
      <c r="AD30" s="16"/>
      <c r="AE30" s="15"/>
      <c r="AF30" s="16"/>
      <c r="AG30" s="15"/>
      <c r="AH30" s="16"/>
      <c r="AI30" s="9" t="str">
        <f t="shared" si="7"/>
        <v/>
      </c>
      <c r="AJ30" s="7" t="str">
        <f t="shared" si="8"/>
        <v/>
      </c>
      <c r="AK30" s="7" t="str">
        <f t="shared" si="9"/>
        <v/>
      </c>
      <c r="AL30" s="7" t="str">
        <f t="shared" si="10"/>
        <v/>
      </c>
      <c r="AM30" s="8" t="str">
        <f t="shared" si="11"/>
        <v/>
      </c>
      <c r="AN30" s="7" t="str">
        <f t="shared" si="12"/>
        <v/>
      </c>
      <c r="AO30" s="12"/>
      <c r="AP30" s="7" t="str">
        <f t="shared" si="37"/>
        <v/>
      </c>
      <c r="AQ30" s="11" t="str">
        <f t="shared" si="13"/>
        <v/>
      </c>
      <c r="AR30" s="7" t="str">
        <f t="shared" si="14"/>
        <v/>
      </c>
      <c r="AS30" s="12"/>
      <c r="AT30" s="7" t="str">
        <f t="shared" si="15"/>
        <v/>
      </c>
      <c r="AU30" s="11" t="str">
        <f t="shared" si="16"/>
        <v/>
      </c>
      <c r="AV30" s="7" t="str">
        <f t="shared" si="17"/>
        <v/>
      </c>
      <c r="AW30" s="13"/>
      <c r="AX30" s="7" t="str">
        <f t="shared" si="18"/>
        <v/>
      </c>
      <c r="AY30" s="7" t="str">
        <f t="shared" si="19"/>
        <v/>
      </c>
    </row>
    <row r="31" spans="1:51" ht="15" customHeight="1" x14ac:dyDescent="0.25">
      <c r="A31" s="6">
        <v>28</v>
      </c>
      <c r="B31" s="17"/>
      <c r="C31" s="15"/>
      <c r="D31" s="16"/>
      <c r="E31" s="15"/>
      <c r="F31" s="16"/>
      <c r="G31" s="15"/>
      <c r="H31" s="16"/>
      <c r="I31" s="15"/>
      <c r="J31" s="16"/>
      <c r="K31" s="15"/>
      <c r="L31" s="16"/>
      <c r="M31" s="15"/>
      <c r="N31" s="16"/>
      <c r="O31" s="15"/>
      <c r="P31" s="16"/>
      <c r="Q31" s="15"/>
      <c r="R31" s="16"/>
      <c r="S31" s="15"/>
      <c r="T31" s="16"/>
      <c r="U31" s="15"/>
      <c r="V31" s="16"/>
      <c r="W31" s="15"/>
      <c r="X31" s="16"/>
      <c r="Y31" s="15"/>
      <c r="Z31" s="16"/>
      <c r="AA31" s="15"/>
      <c r="AB31" s="16"/>
      <c r="AC31" s="15"/>
      <c r="AD31" s="16"/>
      <c r="AE31" s="15"/>
      <c r="AF31" s="16"/>
      <c r="AG31" s="15"/>
      <c r="AH31" s="16"/>
      <c r="AI31" s="9" t="str">
        <f t="shared" si="7"/>
        <v/>
      </c>
      <c r="AJ31" s="7" t="str">
        <f t="shared" si="8"/>
        <v/>
      </c>
      <c r="AK31" s="7" t="str">
        <f t="shared" si="9"/>
        <v/>
      </c>
      <c r="AL31" s="7" t="str">
        <f t="shared" si="10"/>
        <v/>
      </c>
      <c r="AM31" s="8" t="str">
        <f t="shared" si="11"/>
        <v/>
      </c>
      <c r="AN31" s="7" t="str">
        <f t="shared" si="12"/>
        <v/>
      </c>
      <c r="AO31" s="12"/>
      <c r="AP31" s="7" t="str">
        <f t="shared" si="37"/>
        <v/>
      </c>
      <c r="AQ31" s="11" t="str">
        <f t="shared" si="13"/>
        <v/>
      </c>
      <c r="AR31" s="7" t="str">
        <f t="shared" si="14"/>
        <v/>
      </c>
      <c r="AS31" s="12"/>
      <c r="AT31" s="7" t="str">
        <f t="shared" si="15"/>
        <v/>
      </c>
      <c r="AU31" s="11" t="str">
        <f t="shared" si="16"/>
        <v/>
      </c>
      <c r="AV31" s="7" t="str">
        <f t="shared" si="17"/>
        <v/>
      </c>
      <c r="AW31" s="13"/>
      <c r="AX31" s="7" t="str">
        <f t="shared" si="18"/>
        <v/>
      </c>
      <c r="AY31" s="7" t="str">
        <f t="shared" si="19"/>
        <v/>
      </c>
    </row>
    <row r="32" spans="1:51" ht="15" customHeight="1" x14ac:dyDescent="0.25">
      <c r="A32" s="6">
        <v>29</v>
      </c>
      <c r="B32" s="17"/>
      <c r="C32" s="15"/>
      <c r="D32" s="16"/>
      <c r="E32" s="15"/>
      <c r="F32" s="16"/>
      <c r="G32" s="15"/>
      <c r="H32" s="16"/>
      <c r="I32" s="15"/>
      <c r="J32" s="16"/>
      <c r="K32" s="15"/>
      <c r="L32" s="16"/>
      <c r="M32" s="15"/>
      <c r="N32" s="16"/>
      <c r="O32" s="15"/>
      <c r="P32" s="16"/>
      <c r="Q32" s="15"/>
      <c r="R32" s="16"/>
      <c r="S32" s="15"/>
      <c r="T32" s="16"/>
      <c r="U32" s="15"/>
      <c r="V32" s="16"/>
      <c r="W32" s="15"/>
      <c r="X32" s="16"/>
      <c r="Y32" s="15"/>
      <c r="Z32" s="16"/>
      <c r="AA32" s="15"/>
      <c r="AB32" s="16"/>
      <c r="AC32" s="15"/>
      <c r="AD32" s="16"/>
      <c r="AE32" s="15"/>
      <c r="AF32" s="16"/>
      <c r="AG32" s="15"/>
      <c r="AH32" s="16"/>
      <c r="AI32" s="9" t="str">
        <f t="shared" si="7"/>
        <v/>
      </c>
      <c r="AJ32" s="7" t="str">
        <f t="shared" si="8"/>
        <v/>
      </c>
      <c r="AK32" s="7" t="str">
        <f t="shared" si="9"/>
        <v/>
      </c>
      <c r="AL32" s="7" t="str">
        <f t="shared" si="10"/>
        <v/>
      </c>
      <c r="AM32" s="8" t="str">
        <f t="shared" si="11"/>
        <v/>
      </c>
      <c r="AN32" s="7" t="str">
        <f t="shared" si="12"/>
        <v/>
      </c>
      <c r="AO32" s="12"/>
      <c r="AP32" s="7" t="str">
        <f t="shared" si="37"/>
        <v/>
      </c>
      <c r="AQ32" s="11" t="str">
        <f t="shared" si="13"/>
        <v/>
      </c>
      <c r="AR32" s="7" t="str">
        <f t="shared" si="14"/>
        <v/>
      </c>
      <c r="AS32" s="12"/>
      <c r="AT32" s="7" t="str">
        <f t="shared" si="15"/>
        <v/>
      </c>
      <c r="AU32" s="11" t="str">
        <f t="shared" si="16"/>
        <v/>
      </c>
      <c r="AV32" s="7" t="str">
        <f t="shared" si="17"/>
        <v/>
      </c>
      <c r="AW32" s="13"/>
      <c r="AX32" s="7" t="str">
        <f t="shared" si="18"/>
        <v/>
      </c>
      <c r="AY32" s="7" t="str">
        <f t="shared" si="19"/>
        <v/>
      </c>
    </row>
    <row r="33" spans="1:51" ht="15" customHeight="1" x14ac:dyDescent="0.25">
      <c r="A33" s="6">
        <v>30</v>
      </c>
      <c r="B33" s="17"/>
      <c r="C33" s="15"/>
      <c r="D33" s="16"/>
      <c r="E33" s="15"/>
      <c r="F33" s="16"/>
      <c r="G33" s="15"/>
      <c r="H33" s="16"/>
      <c r="I33" s="15"/>
      <c r="J33" s="16"/>
      <c r="K33" s="15"/>
      <c r="L33" s="16"/>
      <c r="M33" s="15"/>
      <c r="N33" s="16"/>
      <c r="O33" s="15"/>
      <c r="P33" s="16"/>
      <c r="Q33" s="15"/>
      <c r="R33" s="16"/>
      <c r="S33" s="15"/>
      <c r="T33" s="16"/>
      <c r="U33" s="15"/>
      <c r="V33" s="16"/>
      <c r="W33" s="15"/>
      <c r="X33" s="16"/>
      <c r="Y33" s="15"/>
      <c r="Z33" s="16"/>
      <c r="AA33" s="15"/>
      <c r="AB33" s="16"/>
      <c r="AC33" s="15"/>
      <c r="AD33" s="16"/>
      <c r="AE33" s="15"/>
      <c r="AF33" s="16"/>
      <c r="AG33" s="15"/>
      <c r="AH33" s="16"/>
      <c r="AI33" s="9" t="str">
        <f t="shared" si="7"/>
        <v/>
      </c>
      <c r="AJ33" s="7" t="str">
        <f t="shared" si="8"/>
        <v/>
      </c>
      <c r="AK33" s="7" t="str">
        <f t="shared" si="9"/>
        <v/>
      </c>
      <c r="AL33" s="7" t="str">
        <f t="shared" si="10"/>
        <v/>
      </c>
      <c r="AM33" s="8" t="str">
        <f t="shared" si="11"/>
        <v/>
      </c>
      <c r="AN33" s="7" t="str">
        <f t="shared" si="12"/>
        <v/>
      </c>
      <c r="AO33" s="12"/>
      <c r="AP33" s="7" t="str">
        <f t="shared" si="37"/>
        <v/>
      </c>
      <c r="AQ33" s="11" t="str">
        <f t="shared" si="13"/>
        <v/>
      </c>
      <c r="AR33" s="7" t="str">
        <f t="shared" si="14"/>
        <v/>
      </c>
      <c r="AS33" s="12"/>
      <c r="AT33" s="7" t="str">
        <f t="shared" si="15"/>
        <v/>
      </c>
      <c r="AU33" s="11" t="str">
        <f t="shared" si="16"/>
        <v/>
      </c>
      <c r="AV33" s="7" t="str">
        <f t="shared" si="17"/>
        <v/>
      </c>
      <c r="AW33" s="13"/>
      <c r="AX33" s="7" t="str">
        <f t="shared" si="18"/>
        <v/>
      </c>
      <c r="AY33" s="7" t="str">
        <f t="shared" si="19"/>
        <v/>
      </c>
    </row>
    <row r="34" spans="1:51" ht="15" customHeight="1" x14ac:dyDescent="0.25">
      <c r="A34" s="6">
        <v>31</v>
      </c>
      <c r="B34" s="17"/>
      <c r="C34" s="15"/>
      <c r="D34" s="16"/>
      <c r="E34" s="15"/>
      <c r="F34" s="16"/>
      <c r="G34" s="15"/>
      <c r="H34" s="16"/>
      <c r="I34" s="15"/>
      <c r="J34" s="16"/>
      <c r="K34" s="15"/>
      <c r="L34" s="16"/>
      <c r="M34" s="15"/>
      <c r="N34" s="16"/>
      <c r="O34" s="15"/>
      <c r="P34" s="16"/>
      <c r="Q34" s="15"/>
      <c r="R34" s="16"/>
      <c r="S34" s="15"/>
      <c r="T34" s="16"/>
      <c r="U34" s="15"/>
      <c r="V34" s="16"/>
      <c r="W34" s="15"/>
      <c r="X34" s="16"/>
      <c r="Y34" s="15"/>
      <c r="Z34" s="16"/>
      <c r="AA34" s="15"/>
      <c r="AB34" s="16"/>
      <c r="AC34" s="15"/>
      <c r="AD34" s="16"/>
      <c r="AE34" s="15"/>
      <c r="AF34" s="16"/>
      <c r="AG34" s="15"/>
      <c r="AH34" s="16"/>
      <c r="AI34" s="9" t="str">
        <f t="shared" si="7"/>
        <v/>
      </c>
      <c r="AJ34" s="7" t="str">
        <f t="shared" si="8"/>
        <v/>
      </c>
      <c r="AK34" s="7" t="str">
        <f t="shared" si="9"/>
        <v/>
      </c>
      <c r="AL34" s="7" t="str">
        <f t="shared" si="10"/>
        <v/>
      </c>
      <c r="AM34" s="8" t="str">
        <f t="shared" si="11"/>
        <v/>
      </c>
      <c r="AN34" s="7" t="str">
        <f t="shared" si="12"/>
        <v/>
      </c>
      <c r="AO34" s="12"/>
      <c r="AP34" s="7" t="str">
        <f t="shared" si="37"/>
        <v/>
      </c>
      <c r="AQ34" s="11" t="str">
        <f t="shared" si="13"/>
        <v/>
      </c>
      <c r="AR34" s="7" t="str">
        <f t="shared" si="14"/>
        <v/>
      </c>
      <c r="AS34" s="12"/>
      <c r="AT34" s="7" t="str">
        <f t="shared" si="15"/>
        <v/>
      </c>
      <c r="AU34" s="11" t="str">
        <f t="shared" si="16"/>
        <v/>
      </c>
      <c r="AV34" s="7" t="str">
        <f t="shared" si="17"/>
        <v/>
      </c>
      <c r="AW34" s="13"/>
      <c r="AX34" s="7" t="str">
        <f t="shared" si="18"/>
        <v/>
      </c>
      <c r="AY34" s="7" t="str">
        <f t="shared" si="19"/>
        <v/>
      </c>
    </row>
    <row r="35" spans="1:51" ht="15" customHeight="1" x14ac:dyDescent="0.25">
      <c r="A35" s="6">
        <v>32</v>
      </c>
      <c r="B35" s="17"/>
      <c r="C35" s="15"/>
      <c r="D35" s="16"/>
      <c r="E35" s="15"/>
      <c r="F35" s="16"/>
      <c r="G35" s="15"/>
      <c r="H35" s="16"/>
      <c r="I35" s="15"/>
      <c r="J35" s="16"/>
      <c r="K35" s="15"/>
      <c r="L35" s="16"/>
      <c r="M35" s="15"/>
      <c r="N35" s="16"/>
      <c r="O35" s="15"/>
      <c r="P35" s="16"/>
      <c r="Q35" s="15"/>
      <c r="R35" s="16"/>
      <c r="S35" s="15"/>
      <c r="T35" s="16"/>
      <c r="U35" s="15"/>
      <c r="V35" s="16"/>
      <c r="W35" s="15"/>
      <c r="X35" s="16"/>
      <c r="Y35" s="15"/>
      <c r="Z35" s="16"/>
      <c r="AA35" s="15"/>
      <c r="AB35" s="16"/>
      <c r="AC35" s="15"/>
      <c r="AD35" s="16"/>
      <c r="AE35" s="15"/>
      <c r="AF35" s="16"/>
      <c r="AG35" s="15"/>
      <c r="AH35" s="16"/>
      <c r="AI35" s="9" t="str">
        <f t="shared" si="7"/>
        <v/>
      </c>
      <c r="AJ35" s="7" t="str">
        <f t="shared" si="8"/>
        <v/>
      </c>
      <c r="AK35" s="7" t="str">
        <f t="shared" si="9"/>
        <v/>
      </c>
      <c r="AL35" s="7" t="str">
        <f t="shared" si="10"/>
        <v/>
      </c>
      <c r="AM35" s="8" t="str">
        <f t="shared" si="11"/>
        <v/>
      </c>
      <c r="AN35" s="7" t="str">
        <f t="shared" si="12"/>
        <v/>
      </c>
      <c r="AO35" s="12"/>
      <c r="AP35" s="7" t="str">
        <f t="shared" si="37"/>
        <v/>
      </c>
      <c r="AQ35" s="11" t="str">
        <f t="shared" si="13"/>
        <v/>
      </c>
      <c r="AR35" s="7" t="str">
        <f t="shared" si="14"/>
        <v/>
      </c>
      <c r="AS35" s="12"/>
      <c r="AT35" s="7" t="str">
        <f t="shared" si="15"/>
        <v/>
      </c>
      <c r="AU35" s="11" t="str">
        <f t="shared" si="16"/>
        <v/>
      </c>
      <c r="AV35" s="7" t="str">
        <f t="shared" si="17"/>
        <v/>
      </c>
      <c r="AW35" s="13"/>
      <c r="AX35" s="7" t="str">
        <f t="shared" si="18"/>
        <v/>
      </c>
      <c r="AY35" s="7" t="str">
        <f t="shared" si="19"/>
        <v/>
      </c>
    </row>
    <row r="36" spans="1:51" ht="15" customHeight="1" x14ac:dyDescent="0.25">
      <c r="A36" s="6">
        <v>33</v>
      </c>
      <c r="B36" s="17"/>
      <c r="C36" s="15"/>
      <c r="D36" s="16"/>
      <c r="E36" s="15"/>
      <c r="F36" s="16"/>
      <c r="G36" s="15"/>
      <c r="H36" s="16"/>
      <c r="I36" s="15"/>
      <c r="J36" s="16"/>
      <c r="K36" s="15"/>
      <c r="L36" s="16"/>
      <c r="M36" s="15"/>
      <c r="N36" s="16"/>
      <c r="O36" s="15"/>
      <c r="P36" s="16"/>
      <c r="Q36" s="15"/>
      <c r="R36" s="16"/>
      <c r="S36" s="15"/>
      <c r="T36" s="16"/>
      <c r="U36" s="15"/>
      <c r="V36" s="16"/>
      <c r="W36" s="15"/>
      <c r="X36" s="16"/>
      <c r="Y36" s="15"/>
      <c r="Z36" s="16"/>
      <c r="AA36" s="15"/>
      <c r="AB36" s="16"/>
      <c r="AC36" s="15"/>
      <c r="AD36" s="16"/>
      <c r="AE36" s="15"/>
      <c r="AF36" s="16"/>
      <c r="AG36" s="15"/>
      <c r="AH36" s="16"/>
      <c r="AI36" s="9" t="str">
        <f t="shared" si="7"/>
        <v/>
      </c>
      <c r="AJ36" s="7" t="str">
        <f t="shared" si="8"/>
        <v/>
      </c>
      <c r="AK36" s="7" t="str">
        <f t="shared" si="9"/>
        <v/>
      </c>
      <c r="AL36" s="7" t="str">
        <f t="shared" si="10"/>
        <v/>
      </c>
      <c r="AM36" s="8" t="str">
        <f t="shared" si="11"/>
        <v/>
      </c>
      <c r="AN36" s="7" t="str">
        <f t="shared" si="12"/>
        <v/>
      </c>
      <c r="AO36" s="12"/>
      <c r="AP36" s="7" t="str">
        <f t="shared" si="37"/>
        <v/>
      </c>
      <c r="AQ36" s="11" t="str">
        <f t="shared" si="13"/>
        <v/>
      </c>
      <c r="AR36" s="7" t="str">
        <f t="shared" si="14"/>
        <v/>
      </c>
      <c r="AS36" s="12"/>
      <c r="AT36" s="7" t="str">
        <f t="shared" si="15"/>
        <v/>
      </c>
      <c r="AU36" s="11" t="str">
        <f t="shared" si="16"/>
        <v/>
      </c>
      <c r="AV36" s="7" t="str">
        <f t="shared" si="17"/>
        <v/>
      </c>
      <c r="AW36" s="13"/>
      <c r="AX36" s="7" t="str">
        <f t="shared" si="18"/>
        <v/>
      </c>
      <c r="AY36" s="7" t="str">
        <f t="shared" si="19"/>
        <v/>
      </c>
    </row>
    <row r="37" spans="1:51" ht="15" customHeight="1" x14ac:dyDescent="0.25">
      <c r="A37" s="6">
        <v>34</v>
      </c>
      <c r="B37" s="17"/>
      <c r="C37" s="15"/>
      <c r="D37" s="16"/>
      <c r="E37" s="15"/>
      <c r="F37" s="16"/>
      <c r="G37" s="15"/>
      <c r="H37" s="16"/>
      <c r="I37" s="15"/>
      <c r="J37" s="16"/>
      <c r="K37" s="15"/>
      <c r="L37" s="16"/>
      <c r="M37" s="15"/>
      <c r="N37" s="16"/>
      <c r="O37" s="15"/>
      <c r="P37" s="16"/>
      <c r="Q37" s="15"/>
      <c r="R37" s="16"/>
      <c r="S37" s="15"/>
      <c r="T37" s="16"/>
      <c r="U37" s="15"/>
      <c r="V37" s="16"/>
      <c r="W37" s="15"/>
      <c r="X37" s="16"/>
      <c r="Y37" s="15"/>
      <c r="Z37" s="16"/>
      <c r="AA37" s="15"/>
      <c r="AB37" s="16"/>
      <c r="AC37" s="15"/>
      <c r="AD37" s="16"/>
      <c r="AE37" s="15"/>
      <c r="AF37" s="16"/>
      <c r="AG37" s="15"/>
      <c r="AH37" s="16"/>
      <c r="AI37" s="9" t="str">
        <f t="shared" si="7"/>
        <v/>
      </c>
      <c r="AJ37" s="7" t="str">
        <f t="shared" si="8"/>
        <v/>
      </c>
      <c r="AK37" s="7" t="str">
        <f t="shared" si="9"/>
        <v/>
      </c>
      <c r="AL37" s="7" t="str">
        <f t="shared" si="10"/>
        <v/>
      </c>
      <c r="AM37" s="8" t="str">
        <f t="shared" si="11"/>
        <v/>
      </c>
      <c r="AN37" s="7" t="str">
        <f t="shared" si="12"/>
        <v/>
      </c>
      <c r="AO37" s="12"/>
      <c r="AP37" s="7" t="str">
        <f t="shared" si="37"/>
        <v/>
      </c>
      <c r="AQ37" s="11" t="str">
        <f t="shared" si="13"/>
        <v/>
      </c>
      <c r="AR37" s="7" t="str">
        <f t="shared" si="14"/>
        <v/>
      </c>
      <c r="AS37" s="12"/>
      <c r="AT37" s="7" t="str">
        <f t="shared" si="15"/>
        <v/>
      </c>
      <c r="AU37" s="11" t="str">
        <f t="shared" si="16"/>
        <v/>
      </c>
      <c r="AV37" s="7" t="str">
        <f t="shared" si="17"/>
        <v/>
      </c>
      <c r="AW37" s="13"/>
      <c r="AX37" s="7" t="str">
        <f t="shared" si="18"/>
        <v/>
      </c>
      <c r="AY37" s="7" t="str">
        <f t="shared" si="19"/>
        <v/>
      </c>
    </row>
    <row r="38" spans="1:51" ht="15" customHeight="1" x14ac:dyDescent="0.25">
      <c r="A38" s="6">
        <v>35</v>
      </c>
      <c r="B38" s="17"/>
      <c r="C38" s="15"/>
      <c r="D38" s="16"/>
      <c r="E38" s="15"/>
      <c r="F38" s="16"/>
      <c r="G38" s="15"/>
      <c r="H38" s="16"/>
      <c r="I38" s="15"/>
      <c r="J38" s="16"/>
      <c r="K38" s="15"/>
      <c r="L38" s="16"/>
      <c r="M38" s="15"/>
      <c r="N38" s="16"/>
      <c r="O38" s="15"/>
      <c r="P38" s="16"/>
      <c r="Q38" s="15"/>
      <c r="R38" s="16"/>
      <c r="S38" s="15"/>
      <c r="T38" s="16"/>
      <c r="U38" s="15"/>
      <c r="V38" s="16"/>
      <c r="W38" s="15"/>
      <c r="X38" s="16"/>
      <c r="Y38" s="15"/>
      <c r="Z38" s="16"/>
      <c r="AA38" s="15"/>
      <c r="AB38" s="16"/>
      <c r="AC38" s="15"/>
      <c r="AD38" s="16"/>
      <c r="AE38" s="15"/>
      <c r="AF38" s="16"/>
      <c r="AG38" s="15"/>
      <c r="AH38" s="16"/>
      <c r="AI38" s="9" t="str">
        <f t="shared" si="7"/>
        <v/>
      </c>
      <c r="AJ38" s="7" t="str">
        <f t="shared" si="8"/>
        <v/>
      </c>
      <c r="AK38" s="7" t="str">
        <f t="shared" si="9"/>
        <v/>
      </c>
      <c r="AL38" s="7" t="str">
        <f t="shared" si="10"/>
        <v/>
      </c>
      <c r="AM38" s="8" t="str">
        <f t="shared" si="11"/>
        <v/>
      </c>
      <c r="AN38" s="7" t="str">
        <f t="shared" si="12"/>
        <v/>
      </c>
      <c r="AO38" s="12"/>
      <c r="AP38" s="7" t="str">
        <f t="shared" si="37"/>
        <v/>
      </c>
      <c r="AQ38" s="11" t="str">
        <f t="shared" si="13"/>
        <v/>
      </c>
      <c r="AR38" s="7" t="str">
        <f t="shared" si="14"/>
        <v/>
      </c>
      <c r="AS38" s="12"/>
      <c r="AT38" s="7" t="str">
        <f t="shared" si="15"/>
        <v/>
      </c>
      <c r="AU38" s="11" t="str">
        <f t="shared" si="16"/>
        <v/>
      </c>
      <c r="AV38" s="7" t="str">
        <f t="shared" si="17"/>
        <v/>
      </c>
      <c r="AW38" s="13"/>
      <c r="AX38" s="7" t="str">
        <f t="shared" si="18"/>
        <v/>
      </c>
      <c r="AY38" s="7" t="str">
        <f t="shared" si="19"/>
        <v/>
      </c>
    </row>
    <row r="39" spans="1:51" ht="15" customHeight="1" x14ac:dyDescent="0.25">
      <c r="A39" s="6">
        <v>36</v>
      </c>
      <c r="B39" s="17"/>
      <c r="C39" s="15"/>
      <c r="D39" s="16"/>
      <c r="E39" s="15"/>
      <c r="F39" s="16"/>
      <c r="G39" s="15"/>
      <c r="H39" s="16"/>
      <c r="I39" s="15"/>
      <c r="J39" s="16"/>
      <c r="K39" s="15"/>
      <c r="L39" s="16"/>
      <c r="M39" s="15"/>
      <c r="N39" s="16"/>
      <c r="O39" s="15"/>
      <c r="P39" s="16"/>
      <c r="Q39" s="15"/>
      <c r="R39" s="16"/>
      <c r="S39" s="15"/>
      <c r="T39" s="16"/>
      <c r="U39" s="15"/>
      <c r="V39" s="16"/>
      <c r="W39" s="15"/>
      <c r="X39" s="16"/>
      <c r="Y39" s="15"/>
      <c r="Z39" s="16"/>
      <c r="AA39" s="15"/>
      <c r="AB39" s="16"/>
      <c r="AC39" s="15"/>
      <c r="AD39" s="16"/>
      <c r="AE39" s="15"/>
      <c r="AF39" s="16"/>
      <c r="AG39" s="15"/>
      <c r="AH39" s="16"/>
      <c r="AI39" s="9" t="str">
        <f t="shared" si="7"/>
        <v/>
      </c>
      <c r="AJ39" s="7" t="str">
        <f t="shared" si="8"/>
        <v/>
      </c>
      <c r="AK39" s="7" t="str">
        <f t="shared" si="9"/>
        <v/>
      </c>
      <c r="AL39" s="7" t="str">
        <f t="shared" si="10"/>
        <v/>
      </c>
      <c r="AM39" s="8" t="str">
        <f t="shared" si="11"/>
        <v/>
      </c>
      <c r="AN39" s="7" t="str">
        <f t="shared" si="12"/>
        <v/>
      </c>
      <c r="AO39" s="12"/>
      <c r="AP39" s="7" t="str">
        <f t="shared" si="37"/>
        <v/>
      </c>
      <c r="AQ39" s="11" t="str">
        <f t="shared" si="13"/>
        <v/>
      </c>
      <c r="AR39" s="7" t="str">
        <f t="shared" si="14"/>
        <v/>
      </c>
      <c r="AS39" s="12"/>
      <c r="AT39" s="7" t="str">
        <f t="shared" si="15"/>
        <v/>
      </c>
      <c r="AU39" s="11" t="str">
        <f t="shared" si="16"/>
        <v/>
      </c>
      <c r="AV39" s="7" t="str">
        <f t="shared" si="17"/>
        <v/>
      </c>
      <c r="AW39" s="13"/>
      <c r="AX39" s="7" t="str">
        <f t="shared" si="18"/>
        <v/>
      </c>
      <c r="AY39" s="7" t="str">
        <f t="shared" si="19"/>
        <v/>
      </c>
    </row>
    <row r="40" spans="1:51" ht="15" customHeight="1" x14ac:dyDescent="0.25">
      <c r="A40" s="6">
        <v>37</v>
      </c>
      <c r="B40" s="17"/>
      <c r="C40" s="15"/>
      <c r="D40" s="16"/>
      <c r="E40" s="15"/>
      <c r="F40" s="16"/>
      <c r="G40" s="15"/>
      <c r="H40" s="16"/>
      <c r="I40" s="15"/>
      <c r="J40" s="16"/>
      <c r="K40" s="15"/>
      <c r="L40" s="16"/>
      <c r="M40" s="15"/>
      <c r="N40" s="16"/>
      <c r="O40" s="15"/>
      <c r="P40" s="16"/>
      <c r="Q40" s="15"/>
      <c r="R40" s="16"/>
      <c r="S40" s="15"/>
      <c r="T40" s="16"/>
      <c r="U40" s="15"/>
      <c r="V40" s="16"/>
      <c r="W40" s="15"/>
      <c r="X40" s="16"/>
      <c r="Y40" s="15"/>
      <c r="Z40" s="16"/>
      <c r="AA40" s="15"/>
      <c r="AB40" s="16"/>
      <c r="AC40" s="15"/>
      <c r="AD40" s="16"/>
      <c r="AE40" s="15"/>
      <c r="AF40" s="16"/>
      <c r="AG40" s="15"/>
      <c r="AH40" s="16"/>
      <c r="AI40" s="9" t="str">
        <f t="shared" si="7"/>
        <v/>
      </c>
      <c r="AJ40" s="7" t="str">
        <f t="shared" si="8"/>
        <v/>
      </c>
      <c r="AK40" s="7" t="str">
        <f t="shared" si="9"/>
        <v/>
      </c>
      <c r="AL40" s="7" t="str">
        <f t="shared" si="10"/>
        <v/>
      </c>
      <c r="AM40" s="8" t="str">
        <f t="shared" si="11"/>
        <v/>
      </c>
      <c r="AN40" s="7" t="str">
        <f t="shared" si="12"/>
        <v/>
      </c>
      <c r="AO40" s="12"/>
      <c r="AP40" s="7" t="str">
        <f t="shared" si="37"/>
        <v/>
      </c>
      <c r="AQ40" s="11" t="str">
        <f t="shared" si="13"/>
        <v/>
      </c>
      <c r="AR40" s="7" t="str">
        <f t="shared" si="14"/>
        <v/>
      </c>
      <c r="AS40" s="12"/>
      <c r="AT40" s="7" t="str">
        <f t="shared" si="15"/>
        <v/>
      </c>
      <c r="AU40" s="11" t="str">
        <f t="shared" si="16"/>
        <v/>
      </c>
      <c r="AV40" s="7" t="str">
        <f t="shared" si="17"/>
        <v/>
      </c>
      <c r="AW40" s="13"/>
      <c r="AX40" s="7" t="str">
        <f t="shared" si="18"/>
        <v/>
      </c>
      <c r="AY40" s="7" t="str">
        <f t="shared" si="19"/>
        <v/>
      </c>
    </row>
    <row r="41" spans="1:51" ht="15" customHeight="1" x14ac:dyDescent="0.25">
      <c r="A41" s="6">
        <v>38</v>
      </c>
      <c r="B41" s="17"/>
      <c r="C41" s="15"/>
      <c r="D41" s="16"/>
      <c r="E41" s="15"/>
      <c r="F41" s="16"/>
      <c r="G41" s="15"/>
      <c r="H41" s="16"/>
      <c r="I41" s="15"/>
      <c r="J41" s="16"/>
      <c r="K41" s="15"/>
      <c r="L41" s="16"/>
      <c r="M41" s="15"/>
      <c r="N41" s="16"/>
      <c r="O41" s="15"/>
      <c r="P41" s="16"/>
      <c r="Q41" s="15"/>
      <c r="R41" s="16"/>
      <c r="S41" s="15"/>
      <c r="T41" s="16"/>
      <c r="U41" s="15"/>
      <c r="V41" s="16"/>
      <c r="W41" s="15"/>
      <c r="X41" s="16"/>
      <c r="Y41" s="15"/>
      <c r="Z41" s="16"/>
      <c r="AA41" s="15"/>
      <c r="AB41" s="16"/>
      <c r="AC41" s="15"/>
      <c r="AD41" s="16"/>
      <c r="AE41" s="15"/>
      <c r="AF41" s="16"/>
      <c r="AG41" s="15"/>
      <c r="AH41" s="16"/>
      <c r="AI41" s="9" t="str">
        <f t="shared" si="7"/>
        <v/>
      </c>
      <c r="AJ41" s="7" t="str">
        <f t="shared" si="8"/>
        <v/>
      </c>
      <c r="AK41" s="7" t="str">
        <f t="shared" si="9"/>
        <v/>
      </c>
      <c r="AL41" s="7" t="str">
        <f t="shared" si="10"/>
        <v/>
      </c>
      <c r="AM41" s="8" t="str">
        <f t="shared" si="11"/>
        <v/>
      </c>
      <c r="AN41" s="7" t="str">
        <f t="shared" si="12"/>
        <v/>
      </c>
      <c r="AO41" s="12"/>
      <c r="AP41" s="7" t="str">
        <f t="shared" si="37"/>
        <v/>
      </c>
      <c r="AQ41" s="11" t="str">
        <f t="shared" si="13"/>
        <v/>
      </c>
      <c r="AR41" s="7" t="str">
        <f t="shared" si="14"/>
        <v/>
      </c>
      <c r="AS41" s="12"/>
      <c r="AT41" s="7" t="str">
        <f t="shared" si="15"/>
        <v/>
      </c>
      <c r="AU41" s="11" t="str">
        <f t="shared" si="16"/>
        <v/>
      </c>
      <c r="AV41" s="7" t="str">
        <f t="shared" si="17"/>
        <v/>
      </c>
      <c r="AW41" s="13"/>
      <c r="AX41" s="7" t="str">
        <f t="shared" si="18"/>
        <v/>
      </c>
      <c r="AY41" s="7" t="str">
        <f t="shared" si="19"/>
        <v/>
      </c>
    </row>
    <row r="42" spans="1:51" ht="15" customHeight="1" x14ac:dyDescent="0.25">
      <c r="A42" s="6">
        <v>39</v>
      </c>
      <c r="B42" s="17"/>
      <c r="C42" s="15"/>
      <c r="D42" s="16"/>
      <c r="E42" s="15"/>
      <c r="F42" s="16"/>
      <c r="G42" s="15"/>
      <c r="H42" s="16"/>
      <c r="I42" s="15"/>
      <c r="J42" s="16"/>
      <c r="K42" s="15"/>
      <c r="L42" s="16"/>
      <c r="M42" s="15"/>
      <c r="N42" s="16"/>
      <c r="O42" s="15"/>
      <c r="P42" s="16"/>
      <c r="Q42" s="15"/>
      <c r="R42" s="16"/>
      <c r="S42" s="15"/>
      <c r="T42" s="16"/>
      <c r="U42" s="15"/>
      <c r="V42" s="16"/>
      <c r="W42" s="15"/>
      <c r="X42" s="16"/>
      <c r="Y42" s="15"/>
      <c r="Z42" s="16"/>
      <c r="AA42" s="15"/>
      <c r="AB42" s="16"/>
      <c r="AC42" s="15"/>
      <c r="AD42" s="16"/>
      <c r="AE42" s="15"/>
      <c r="AF42" s="16"/>
      <c r="AG42" s="15"/>
      <c r="AH42" s="16"/>
      <c r="AI42" s="9" t="str">
        <f t="shared" si="7"/>
        <v/>
      </c>
      <c r="AJ42" s="7" t="str">
        <f t="shared" si="8"/>
        <v/>
      </c>
      <c r="AK42" s="7" t="str">
        <f t="shared" si="9"/>
        <v/>
      </c>
      <c r="AL42" s="7" t="str">
        <f t="shared" si="10"/>
        <v/>
      </c>
      <c r="AM42" s="8" t="str">
        <f t="shared" si="11"/>
        <v/>
      </c>
      <c r="AN42" s="7" t="str">
        <f t="shared" si="12"/>
        <v/>
      </c>
      <c r="AO42" s="12"/>
      <c r="AP42" s="7" t="str">
        <f t="shared" si="37"/>
        <v/>
      </c>
      <c r="AQ42" s="11" t="str">
        <f t="shared" si="13"/>
        <v/>
      </c>
      <c r="AR42" s="7" t="str">
        <f t="shared" si="14"/>
        <v/>
      </c>
      <c r="AS42" s="12"/>
      <c r="AT42" s="7" t="str">
        <f t="shared" si="15"/>
        <v/>
      </c>
      <c r="AU42" s="11" t="str">
        <f t="shared" si="16"/>
        <v/>
      </c>
      <c r="AV42" s="7" t="str">
        <f t="shared" si="17"/>
        <v/>
      </c>
      <c r="AW42" s="13"/>
      <c r="AX42" s="7" t="str">
        <f t="shared" si="18"/>
        <v/>
      </c>
      <c r="AY42" s="7" t="str">
        <f t="shared" si="19"/>
        <v/>
      </c>
    </row>
    <row r="43" spans="1:51" ht="15" customHeight="1" x14ac:dyDescent="0.25">
      <c r="A43" s="6">
        <v>40</v>
      </c>
      <c r="B43" s="18"/>
      <c r="C43" s="19"/>
      <c r="D43" s="20"/>
      <c r="E43" s="19"/>
      <c r="F43" s="20"/>
      <c r="G43" s="19"/>
      <c r="H43" s="20"/>
      <c r="I43" s="19"/>
      <c r="J43" s="20"/>
      <c r="K43" s="19"/>
      <c r="L43" s="20"/>
      <c r="M43" s="19"/>
      <c r="N43" s="20"/>
      <c r="O43" s="19"/>
      <c r="P43" s="20"/>
      <c r="Q43" s="19"/>
      <c r="R43" s="20"/>
      <c r="S43" s="19"/>
      <c r="T43" s="20"/>
      <c r="U43" s="19"/>
      <c r="V43" s="20"/>
      <c r="W43" s="19"/>
      <c r="X43" s="20"/>
      <c r="Y43" s="19"/>
      <c r="Z43" s="20"/>
      <c r="AA43" s="19"/>
      <c r="AB43" s="20"/>
      <c r="AC43" s="19"/>
      <c r="AD43" s="20"/>
      <c r="AE43" s="19"/>
      <c r="AF43" s="20"/>
      <c r="AG43" s="19"/>
      <c r="AH43" s="20"/>
      <c r="AI43" s="21" t="str">
        <f t="shared" si="7"/>
        <v/>
      </c>
      <c r="AJ43" s="22" t="str">
        <f t="shared" si="8"/>
        <v/>
      </c>
      <c r="AK43" s="22" t="str">
        <f t="shared" si="9"/>
        <v/>
      </c>
      <c r="AL43" s="22" t="str">
        <f t="shared" si="10"/>
        <v/>
      </c>
      <c r="AM43" s="23" t="str">
        <f t="shared" si="11"/>
        <v/>
      </c>
      <c r="AN43" s="22" t="str">
        <f t="shared" si="12"/>
        <v/>
      </c>
      <c r="AO43" s="24"/>
      <c r="AP43" s="22" t="str">
        <f t="shared" si="37"/>
        <v/>
      </c>
      <c r="AQ43" s="25" t="str">
        <f t="shared" si="13"/>
        <v/>
      </c>
      <c r="AR43" s="7" t="str">
        <f t="shared" si="14"/>
        <v/>
      </c>
      <c r="AS43" s="24"/>
      <c r="AT43" s="22" t="str">
        <f t="shared" si="15"/>
        <v/>
      </c>
      <c r="AU43" s="25" t="str">
        <f t="shared" si="16"/>
        <v/>
      </c>
      <c r="AV43" s="22" t="str">
        <f t="shared" si="17"/>
        <v/>
      </c>
      <c r="AW43" s="26"/>
      <c r="AX43" s="7" t="str">
        <f t="shared" si="18"/>
        <v/>
      </c>
      <c r="AY43" s="7" t="str">
        <f t="shared" si="19"/>
        <v/>
      </c>
    </row>
    <row r="44" spans="1:51" ht="21" x14ac:dyDescent="0.25">
      <c r="B44" s="28"/>
      <c r="C44" s="29"/>
      <c r="D44" s="28"/>
      <c r="E44" s="29"/>
      <c r="F44" s="28"/>
      <c r="G44" s="28"/>
      <c r="H44" s="28"/>
      <c r="I44" s="28"/>
      <c r="J44" s="28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</row>
    <row r="45" spans="1:51" ht="21" x14ac:dyDescent="0.25">
      <c r="C45" s="27"/>
      <c r="E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 spans="1:51" ht="21" x14ac:dyDescent="0.25">
      <c r="C46" s="27"/>
      <c r="E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 spans="1:51" ht="21" x14ac:dyDescent="0.25">
      <c r="C47" s="27"/>
      <c r="E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 spans="1:51" ht="21" x14ac:dyDescent="0.25">
      <c r="C48" s="27"/>
      <c r="E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 spans="3:34" ht="21" x14ac:dyDescent="0.25">
      <c r="C49" s="27"/>
      <c r="E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 spans="3:34" ht="21" x14ac:dyDescent="0.25">
      <c r="C50" s="27"/>
      <c r="E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 spans="3:34" ht="21" x14ac:dyDescent="0.25">
      <c r="C51" s="27"/>
      <c r="E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</row>
    <row r="52" spans="3:34" ht="21" x14ac:dyDescent="0.25">
      <c r="C52" s="27"/>
      <c r="E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</row>
    <row r="53" spans="3:34" ht="21" x14ac:dyDescent="0.25">
      <c r="C53" s="27"/>
      <c r="E53" s="27"/>
      <c r="K53" s="27"/>
      <c r="L53" s="27"/>
      <c r="M53" s="27"/>
      <c r="N53" s="27"/>
      <c r="O53" s="27"/>
      <c r="P53" s="27"/>
      <c r="Q53" s="27"/>
      <c r="R53" s="27"/>
      <c r="AA53" s="27"/>
      <c r="AB53" s="27"/>
      <c r="AC53" s="27"/>
      <c r="AD53" s="27"/>
      <c r="AE53" s="27"/>
      <c r="AF53" s="27"/>
      <c r="AG53" s="27"/>
      <c r="AH53" s="27"/>
    </row>
    <row r="54" spans="3:34" ht="21" x14ac:dyDescent="0.25">
      <c r="C54" s="27"/>
      <c r="E54" s="27"/>
      <c r="K54" s="27"/>
      <c r="L54" s="27"/>
      <c r="M54" s="27"/>
      <c r="N54" s="27"/>
      <c r="O54" s="27"/>
      <c r="P54" s="27"/>
      <c r="Q54" s="27"/>
      <c r="R54" s="27"/>
      <c r="AA54" s="27"/>
      <c r="AB54" s="27"/>
      <c r="AC54" s="27"/>
      <c r="AD54" s="27"/>
      <c r="AE54" s="27"/>
      <c r="AF54" s="27"/>
      <c r="AG54" s="27"/>
      <c r="AH54" s="27"/>
    </row>
    <row r="55" spans="3:34" ht="21" x14ac:dyDescent="0.25">
      <c r="E55" s="27"/>
      <c r="M55" s="27"/>
      <c r="O55" s="27"/>
      <c r="AA55" s="27"/>
      <c r="AB55" s="27"/>
      <c r="AC55" s="27"/>
      <c r="AD55" s="27"/>
      <c r="AE55" s="27"/>
      <c r="AF55" s="27"/>
      <c r="AG55" s="27"/>
      <c r="AH55" s="27"/>
    </row>
    <row r="56" spans="3:34" ht="21" x14ac:dyDescent="0.25">
      <c r="M56" s="27"/>
      <c r="AA56" s="27"/>
      <c r="AB56" s="27"/>
      <c r="AC56" s="27"/>
      <c r="AD56" s="27"/>
      <c r="AE56" s="27"/>
      <c r="AF56" s="27"/>
      <c r="AG56" s="27"/>
      <c r="AH56" s="27"/>
    </row>
    <row r="57" spans="3:34" ht="21" x14ac:dyDescent="0.25">
      <c r="M57" s="27"/>
    </row>
    <row r="58" spans="3:34" ht="21" x14ac:dyDescent="0.25">
      <c r="M58" s="27"/>
    </row>
    <row r="59" spans="3:34" ht="21" x14ac:dyDescent="0.25">
      <c r="M59" s="27"/>
    </row>
    <row r="60" spans="3:34" ht="21" x14ac:dyDescent="0.25">
      <c r="M60" s="27"/>
    </row>
  </sheetData>
  <sheetProtection selectLockedCells="1"/>
  <mergeCells count="16">
    <mergeCell ref="A1:AH1"/>
    <mergeCell ref="A2:B2"/>
    <mergeCell ref="AI1:AL1"/>
    <mergeCell ref="AM1:AM3"/>
    <mergeCell ref="AI2:AI3"/>
    <mergeCell ref="AJ2:AJ3"/>
    <mergeCell ref="AK2:AK3"/>
    <mergeCell ref="AL2:AL3"/>
    <mergeCell ref="C2:J2"/>
    <mergeCell ref="K2:R2"/>
    <mergeCell ref="S2:Z2"/>
    <mergeCell ref="AN2:AQ2"/>
    <mergeCell ref="AR2:AU2"/>
    <mergeCell ref="AV2:AW2"/>
    <mergeCell ref="AX2:AY2"/>
    <mergeCell ref="AA2:AH2"/>
  </mergeCells>
  <conditionalFormatting sqref="X4:AF7 C4:V8 AG4:AH15 W4:W28 AF8:AF15 X8:AE28 C9:T25 U9:V28 AF16:AH28 S26:T28 D26:D43 F26:J43 C26:C54 K26:R54 E26:E55 S29:Z52 AA29:AH56 O55 M55:M60">
    <cfRule type="cellIs" dxfId="7" priority="13" operator="between">
      <formula>1</formula>
      <formula>69.99</formula>
    </cfRule>
  </conditionalFormatting>
  <conditionalFormatting sqref="AI4:AP43">
    <cfRule type="cellIs" dxfId="6" priority="2" operator="between">
      <formula>1</formula>
      <formula>69.99</formula>
    </cfRule>
  </conditionalFormatting>
  <conditionalFormatting sqref="AQ3:AQ43">
    <cfRule type="cellIs" dxfId="5" priority="8" operator="between">
      <formula>1</formula>
      <formula>69.99</formula>
    </cfRule>
  </conditionalFormatting>
  <conditionalFormatting sqref="AR4:AT43">
    <cfRule type="cellIs" dxfId="4" priority="6" operator="between">
      <formula>1</formula>
      <formula>69.99</formula>
    </cfRule>
  </conditionalFormatting>
  <conditionalFormatting sqref="AU3:AU43">
    <cfRule type="cellIs" dxfId="3" priority="9" operator="between">
      <formula>1</formula>
      <formula>69.99</formula>
    </cfRule>
  </conditionalFormatting>
  <conditionalFormatting sqref="AV4:AV43">
    <cfRule type="cellIs" dxfId="2" priority="5" operator="between">
      <formula>1</formula>
      <formula>69.99</formula>
    </cfRule>
  </conditionalFormatting>
  <conditionalFormatting sqref="AW3:AW43">
    <cfRule type="cellIs" dxfId="1" priority="3" operator="between">
      <formula>1</formula>
      <formula>69.99</formula>
    </cfRule>
  </conditionalFormatting>
  <conditionalFormatting sqref="AX4:AY43">
    <cfRule type="cellIs" dxfId="0" priority="1" operator="between">
      <formula>1</formula>
      <formula>69.99</formula>
    </cfRule>
  </conditionalFormatting>
  <dataValidations count="2">
    <dataValidation type="decimal" allowBlank="1" showErrorMessage="1" errorTitle="ERROR" error="Solo numeros" sqref="AO4:AO43 AS4:AS43 AW4:AW43 C4:AH43" xr:uid="{0653CEFA-71B4-4001-94BA-8391498A9BB8}">
      <formula1>0</formula1>
      <formula2>100.1</formula2>
    </dataValidation>
    <dataValidation type="custom" allowBlank="1" showErrorMessage="1" errorTitle="ERROR" error="Solo texto" sqref="B4:B43" xr:uid="{C13C646A-F381-4BAD-A897-3CB2925D9870}">
      <formula1>ISTEXT(B4:B43)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MATH</vt:lpstr>
      <vt:lpstr>MATH!_Hlk162943661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Print</dc:title>
  <dc:creator>Kelvin Antonio Florimon  De Jesus</dc:creator>
  <cp:lastModifiedBy>Kelvin Antonio Florimon  De Jesus</cp:lastModifiedBy>
  <dcterms:created xsi:type="dcterms:W3CDTF">2024-05-17T15:31:51Z</dcterms:created>
  <dcterms:modified xsi:type="dcterms:W3CDTF">2026-08-11T05:19:16Z</dcterms:modified>
</cp:coreProperties>
</file>